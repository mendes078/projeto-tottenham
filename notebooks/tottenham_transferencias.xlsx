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F35F9247-9EE9-4CE2-8AC1-3003C89A2DCE}"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<sst xmlns="http://schemas.openxmlformats.org/spreadsheetml/2006/main" count="532" uniqueCount="203">
  <si>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</si>
  <si>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</si>
  <si>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</si>
  <si>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</si>
  <si>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</si>
  <si>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</si>
  <si>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</si>
  <si>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</si>
  <si>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</si>
  <si>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</si>
  <si>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</si>
  <si>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</si>
  <si>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</si>
  <si>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</si>
  <si>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</si>
  <si>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</si>
  <si>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</si>
  <si>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</si>
  <si>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</si>
  <si>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</si>
  <si>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</si>
  <si>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</si>
  <si>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</si>
  <si>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</si>
  <si>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</si>
  <si>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</si>
  <si>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</si>
  <si>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</si>
  <si>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</si>
  <si>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</si>
  <si>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</si>
  <si>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</si>
  <si>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</si>
  <si>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</si>
  <si>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</si>
  <si>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</si>
  <si>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</si>
  <si>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</si>
  <si>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</si>
  <si>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</si>
  <si>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</si>
  <si>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</si>
  <si>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</si>
  <si>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</si>
  <si>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</si>
  <si>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</si>
  <si>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</si>
  <si>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</si>
  <si>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</si>
  <si>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</si>
  <si>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</si>
  <si>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</si>
  <si>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</si>
  <si>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</si>
  <si>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</si>
  <si>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</si>
  <si>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</si>
  <si>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</si>
  <si>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</si>
  <si>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</si>
  <si>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</si>
  <si>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</si>
  <si>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</si>
  <si>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</si>
  <si>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</si>
  <si>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</si>
  <si>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</si>
  <si>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</si>
  <si>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</si>
  <si>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</si>
  <si>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</si>
  <si>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</si>
  <si>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</si>
  <si>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</si>
  <si>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</si>
  <si>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</si>
  <si>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</si>
  <si>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</si>
  <si>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</si>
  <si>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</si>
  <si>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</si>
  <si>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</si>
  <si>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</si>
  <si>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</si>
  <si>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</si>
  <si>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</si>
  <si>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</si>
  <si>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</si>
  <si>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</si>
  <si>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</si>
  <si>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</si>
  <si>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</si>
  <si>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</si>
  <si>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</si>
  <si>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</si>
  <si>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</si>
  <si>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</si>
  <si>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</si>
  <si>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</si>
  <si>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</si>
  <si>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</si>
  <si>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</si>
  <si>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</si>
  <si>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</si>
  <si>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</si>
  <si>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</si>
  <si>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</si>
  <si>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</si>
  <si>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</si>
  <si>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</si>
  <si>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</si>
  <si>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</si>
  <si>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</si>
  <si>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</si>
  <si>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</si>
  <si>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</si>
  <si>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</si>
  <si>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</si>
  <si>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</si>
  <si>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</si>
  <si>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</si>
  <si>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</si>
  <si>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</si>
  <si>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</si>
  <si>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</si>
  <si>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</si>
  <si>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</si>
  <si>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</si>
  <si>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</si>
  <si>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</si>
  <si>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</si>
  <si>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</si>
  <si>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</si>
  <si>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</si>
  <si>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</si>
  <si>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</si>
  <si>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</si>
  <si>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</si>
  <si>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</si>
  <si>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</si>
  <si>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</si>
  <si>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</si>
  <si>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</si>
  <si>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</si>
  <si>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</si>
  <si>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</si>
  <si>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</si>
  <si>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</si>
  <si>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</si>
  <si>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</si>
  <si>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</si>
  <si>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</si>
  <si>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</si>
  <si>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</si>
  <si>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</si>
  <si>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</si>
  <si>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</si>
  <si>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</si>
  <si>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</si>
  <si>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</si>
  <si>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</si>
  <si>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</si>
  <si>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</si>
  <si>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</si>
  <si>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</si>
  <si>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</si>
  <si>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</si>
  <si>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</si>
  <si>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</si>
  <si>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</si>
  <si>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</si>
  <si>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</si>
  <si>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</si>
  <si>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</si>
  <si>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</si>
  <si>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</si>
  <si>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</si>
  <si>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</si>
  <si>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</si>
  <si>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</si>
  <si>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</si>
  <si>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</si>
  <si>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</si>
  <si>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</si>
  <si>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</si>
  <si>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</si>
  <si>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</si>
  <si>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</si>
  <si>
    <t>Investimento no Período</t>
  </si>
  <si>
    <t>Retorno no Período</t>
  </si>
  <si>
    <t>Saldo Total no Período</t>
  </si>
  <si>
    <t>Inv. em Meio-campistas</t>
  </si>
  <si>
    <t>Inv. em Atacantes</t>
  </si>
  <si>
    <t>Inv. em Defensores</t>
  </si>
  <si>
    <t>Jogadores Ingleses</t>
  </si>
  <si>
    <t>Jogadores Holandeses</t>
  </si>
  <si>
    <t>Cont. de Jovens</t>
  </si>
  <si>
    <t>Cont. de Experientes</t>
  </si>
  <si>
    <t>Cont. de Veteranos</t>
  </si>
  <si>
    <t>Ret. de Meio-campistas</t>
  </si>
  <si>
    <t>Ret. de Atacantes</t>
  </si>
  <si>
    <t>Ret. de Defensores</t>
  </si>
  <si>
    <t>Nacionalidades Diversas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</si>
</sst>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7"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3" tint="0.7999816888943144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4" fillId="0" borderId="0" applyFont="0" applyFill="0" applyBorder="0" applyAlignment="0" applyProtection="0"/>
  </cellStyleXfs>
  <cellXfs count="2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xf numFmtId="0" fontId="5" fillId="0" borderId="0" xfId="0" applyFont="1"/>
    <xf numFmtId="0" fontId="6" fillId="2" borderId="0" xfId="0" applyFont="1" applyFill="1" applyAlignment="1">
      <alignment horizontal="center"/>
    </xf>
    <xf numFmtId="164" fontId="0" fillId="0" borderId="2" xfId="0" applyNumberFormat="1" applyBorder="1" applyAlignment="1">
      <alignment horizontal="center"/>
    </xf>
    <xf numFmtId="165" fontId="0" fillId="0" borderId="0" xfId="1" applyNumberFormat="1" applyFont="1" applyAlignment="1">
      <alignment horizontal="center"/>
    </xf>
    <xf numFmtId="0" fontId="6" fillId="0" borderId="0" xfId="0" applyFont="1" applyAlignment="1">
      <alignment horizontal="center"/>
    </xf>
    <xf numFmtId="0" fontId="6" fillId="4" borderId="0" xfId="0" applyFont="1" applyFill="1" applyAlignment="1">
      <alignment horizontal="center"/>
    </xf>
  </cellXfs>
  <cellStyles count="2">
    <cellStyle name="Normal" xfId="0" builtinId="0"/>
    <cellStyle name="Porcentagem" xfId="1" builtinId="5"/>
  </cellStyles>
  <dxfs count="95">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características definiram a estratégia do Tottenham</a:t>
          </a:r>
          <a:r>
            <a:rPr lang="pt-BR" sz="1200" b="1" baseline="0"/>
            <a:t> Hotspur no mercado de transferências entre as temporadas 2019/20 e 2024/25</a:t>
          </a:r>
          <a:r>
            <a:rPr lang="pt-BR" sz="1200" b="1"/>
            <a:t>?</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oneCellAnchor>
    <xdr:from>
      <xdr:col>64</xdr:col>
      <xdr:colOff>690801</xdr:colOff>
      <xdr:row>6</xdr:row>
      <xdr:rowOff>179894</xdr:rowOff>
    </xdr:from>
    <xdr:ext cx="1527021" cy="405432"/>
    <xdr:sp macro="" textlink="">
      <xdr:nvSpPr>
        <xdr:cNvPr id="37" name="CaixaDeTexto 36">
          <a:extLst>
            <a:ext uri="{FF2B5EF4-FFF2-40B4-BE49-F238E27FC236}">
              <a16:creationId xmlns:a16="http://schemas.microsoft.com/office/drawing/2014/main" id="{A05B3AC1-D0C5-4D40-9153-DA77CE942B48}"/>
            </a:ext>
          </a:extLst>
        </xdr:cNvPr>
        <xdr:cNvSpPr txBox="1"/>
      </xdr:nvSpPr>
      <xdr:spPr>
        <a:xfrm>
          <a:off x="71167142" y="1322894"/>
          <a:ext cx="1527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6. Conclusão</a:t>
          </a:r>
        </a:p>
      </xdr:txBody>
    </xdr:sp>
    <xdr:clientData/>
  </xdr:oneCellAnchor>
  <xdr:oneCellAnchor>
    <xdr:from>
      <xdr:col>61</xdr:col>
      <xdr:colOff>1302238</xdr:colOff>
      <xdr:row>8</xdr:row>
      <xdr:rowOff>127911</xdr:rowOff>
    </xdr:from>
    <xdr:ext cx="8815876" cy="530658"/>
    <xdr:sp macro="" textlink="">
      <xdr:nvSpPr>
        <xdr:cNvPr id="38" name="CaixaDeTexto 37">
          <a:extLst>
            <a:ext uri="{FF2B5EF4-FFF2-40B4-BE49-F238E27FC236}">
              <a16:creationId xmlns:a16="http://schemas.microsoft.com/office/drawing/2014/main" id="{679200D7-A3DE-4C25-99CE-17C6913BB572}"/>
            </a:ext>
          </a:extLst>
        </xdr:cNvPr>
        <xdr:cNvSpPr txBox="1"/>
      </xdr:nvSpPr>
      <xdr:spPr>
        <a:xfrm>
          <a:off x="67466352" y="1651911"/>
          <a:ext cx="8815876"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características</a:t>
          </a:r>
          <a:r>
            <a:rPr lang="pt-BR" sz="1400" b="0" i="1" baseline="0"/>
            <a:t> definiram a estratégia do Tottenham Hotspur no mercado de transferências</a:t>
          </a:r>
          <a:br>
            <a:rPr lang="pt-BR" sz="1400" b="0" i="1" baseline="0"/>
          </a:br>
          <a:r>
            <a:rPr lang="pt-BR" sz="1400" b="0" i="1" baseline="0"/>
            <a:t>entre as temporadas 2019/20 até 2024/25?</a:t>
          </a:r>
          <a:endParaRPr lang="pt-BR" sz="1400" b="0" i="1"/>
        </a:p>
      </xdr:txBody>
    </xdr:sp>
    <xdr:clientData/>
  </xdr:oneCellAnchor>
  <xdr:oneCellAnchor>
    <xdr:from>
      <xdr:col>61</xdr:col>
      <xdr:colOff>1313446</xdr:colOff>
      <xdr:row>12</xdr:row>
      <xdr:rowOff>125801</xdr:rowOff>
    </xdr:from>
    <xdr:ext cx="1013483" cy="311496"/>
    <xdr:sp macro="" textlink="">
      <xdr:nvSpPr>
        <xdr:cNvPr id="39" name="CaixaDeTexto 38">
          <a:extLst>
            <a:ext uri="{FF2B5EF4-FFF2-40B4-BE49-F238E27FC236}">
              <a16:creationId xmlns:a16="http://schemas.microsoft.com/office/drawing/2014/main" id="{55A26890-609E-40CD-8A3E-802A9AC8F926}"/>
            </a:ext>
          </a:extLst>
        </xdr:cNvPr>
        <xdr:cNvSpPr txBox="1"/>
      </xdr:nvSpPr>
      <xdr:spPr>
        <a:xfrm>
          <a:off x="67620026" y="2390235"/>
          <a:ext cx="101348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Evidências:</a:t>
          </a:r>
          <a:endParaRPr lang="pt-BR" sz="1400" b="0" i="1"/>
        </a:p>
      </xdr:txBody>
    </xdr:sp>
    <xdr:clientData/>
  </xdr:oneCellAnchor>
  <xdr:oneCellAnchor>
    <xdr:from>
      <xdr:col>61</xdr:col>
      <xdr:colOff>1318427</xdr:colOff>
      <xdr:row>14</xdr:row>
      <xdr:rowOff>152758</xdr:rowOff>
    </xdr:from>
    <xdr:ext cx="323615" cy="311496"/>
    <xdr:sp macro="" textlink="">
      <xdr:nvSpPr>
        <xdr:cNvPr id="40" name="CaixaDeTexto 39">
          <a:extLst>
            <a:ext uri="{FF2B5EF4-FFF2-40B4-BE49-F238E27FC236}">
              <a16:creationId xmlns:a16="http://schemas.microsoft.com/office/drawing/2014/main" id="{D99A57C2-1A06-425C-99E3-E928AC0EEC47}"/>
            </a:ext>
          </a:extLst>
        </xdr:cNvPr>
        <xdr:cNvSpPr txBox="1"/>
      </xdr:nvSpPr>
      <xdr:spPr>
        <a:xfrm>
          <a:off x="67625007" y="2794598"/>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1.</a:t>
          </a:r>
        </a:p>
      </xdr:txBody>
    </xdr:sp>
    <xdr:clientData/>
  </xdr:oneCellAnchor>
  <xdr:oneCellAnchor>
    <xdr:from>
      <xdr:col>61</xdr:col>
      <xdr:colOff>1305030</xdr:colOff>
      <xdr:row>18</xdr:row>
      <xdr:rowOff>127598</xdr:rowOff>
    </xdr:from>
    <xdr:ext cx="323615" cy="311496"/>
    <xdr:sp macro="" textlink="">
      <xdr:nvSpPr>
        <xdr:cNvPr id="41" name="CaixaDeTexto 40">
          <a:extLst>
            <a:ext uri="{FF2B5EF4-FFF2-40B4-BE49-F238E27FC236}">
              <a16:creationId xmlns:a16="http://schemas.microsoft.com/office/drawing/2014/main" id="{8A89519C-77FC-4092-8894-B0F46E9A76A6}"/>
            </a:ext>
          </a:extLst>
        </xdr:cNvPr>
        <xdr:cNvSpPr txBox="1"/>
      </xdr:nvSpPr>
      <xdr:spPr>
        <a:xfrm>
          <a:off x="67460485" y="3565257"/>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2.</a:t>
          </a:r>
        </a:p>
      </xdr:txBody>
    </xdr:sp>
    <xdr:clientData/>
  </xdr:oneCellAnchor>
  <xdr:oneCellAnchor>
    <xdr:from>
      <xdr:col>61</xdr:col>
      <xdr:colOff>1305030</xdr:colOff>
      <xdr:row>22</xdr:row>
      <xdr:rowOff>127598</xdr:rowOff>
    </xdr:from>
    <xdr:ext cx="323615" cy="311496"/>
    <xdr:sp macro="" textlink="">
      <xdr:nvSpPr>
        <xdr:cNvPr id="42" name="CaixaDeTexto 41">
          <a:extLst>
            <a:ext uri="{FF2B5EF4-FFF2-40B4-BE49-F238E27FC236}">
              <a16:creationId xmlns:a16="http://schemas.microsoft.com/office/drawing/2014/main" id="{453269F0-11F9-4971-A436-A9BEDAACC788}"/>
            </a:ext>
          </a:extLst>
        </xdr:cNvPr>
        <xdr:cNvSpPr txBox="1"/>
      </xdr:nvSpPr>
      <xdr:spPr>
        <a:xfrm>
          <a:off x="67469144" y="4335916"/>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3.</a:t>
          </a:r>
        </a:p>
      </xdr:txBody>
    </xdr:sp>
    <xdr:clientData/>
  </xdr:oneCellAnchor>
  <xdr:oneCellAnchor>
    <xdr:from>
      <xdr:col>61</xdr:col>
      <xdr:colOff>1327544</xdr:colOff>
      <xdr:row>26</xdr:row>
      <xdr:rowOff>124134</xdr:rowOff>
    </xdr:from>
    <xdr:ext cx="323615" cy="311496"/>
    <xdr:sp macro="" textlink="">
      <xdr:nvSpPr>
        <xdr:cNvPr id="43" name="CaixaDeTexto 42">
          <a:extLst>
            <a:ext uri="{FF2B5EF4-FFF2-40B4-BE49-F238E27FC236}">
              <a16:creationId xmlns:a16="http://schemas.microsoft.com/office/drawing/2014/main" id="{AE75D060-754E-4F9C-8871-D7844C116DDC}"/>
            </a:ext>
          </a:extLst>
        </xdr:cNvPr>
        <xdr:cNvSpPr txBox="1"/>
      </xdr:nvSpPr>
      <xdr:spPr>
        <a:xfrm>
          <a:off x="67491658" y="5103111"/>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4.</a:t>
          </a:r>
        </a:p>
      </xdr:txBody>
    </xdr:sp>
    <xdr:clientData/>
  </xdr:oneCellAnchor>
  <xdr:oneCellAnchor>
    <xdr:from>
      <xdr:col>61</xdr:col>
      <xdr:colOff>1315421</xdr:colOff>
      <xdr:row>30</xdr:row>
      <xdr:rowOff>146649</xdr:rowOff>
    </xdr:from>
    <xdr:ext cx="323615" cy="311496"/>
    <xdr:sp macro="" textlink="">
      <xdr:nvSpPr>
        <xdr:cNvPr id="44" name="CaixaDeTexto 43">
          <a:extLst>
            <a:ext uri="{FF2B5EF4-FFF2-40B4-BE49-F238E27FC236}">
              <a16:creationId xmlns:a16="http://schemas.microsoft.com/office/drawing/2014/main" id="{9B0C7E65-58CB-46DB-8C54-63E085A68A71}"/>
            </a:ext>
          </a:extLst>
        </xdr:cNvPr>
        <xdr:cNvSpPr txBox="1"/>
      </xdr:nvSpPr>
      <xdr:spPr>
        <a:xfrm>
          <a:off x="67479535" y="5896285"/>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5.</a:t>
          </a:r>
        </a:p>
      </xdr:txBody>
    </xdr:sp>
    <xdr:clientData/>
  </xdr:oneCellAnchor>
  <xdr:oneCellAnchor>
    <xdr:from>
      <xdr:col>61</xdr:col>
      <xdr:colOff>1305995</xdr:colOff>
      <xdr:row>34</xdr:row>
      <xdr:rowOff>146568</xdr:rowOff>
    </xdr:from>
    <xdr:ext cx="884216" cy="311496"/>
    <xdr:sp macro="" textlink="">
      <xdr:nvSpPr>
        <xdr:cNvPr id="45" name="CaixaDeTexto 44">
          <a:extLst>
            <a:ext uri="{FF2B5EF4-FFF2-40B4-BE49-F238E27FC236}">
              <a16:creationId xmlns:a16="http://schemas.microsoft.com/office/drawing/2014/main" id="{268DAF49-0C02-48AB-B8BB-D0B8A7C661EF}"/>
            </a:ext>
          </a:extLst>
        </xdr:cNvPr>
        <xdr:cNvSpPr txBox="1"/>
      </xdr:nvSpPr>
      <xdr:spPr>
        <a:xfrm>
          <a:off x="67726995" y="6676485"/>
          <a:ext cx="884216"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Veredito:</a:t>
          </a:r>
          <a:endParaRPr lang="pt-BR" sz="1400" b="0" i="1"/>
        </a:p>
      </xdr:txBody>
    </xdr:sp>
    <xdr:clientData/>
  </xdr:oneCellAnchor>
  <xdr:oneCellAnchor>
    <xdr:from>
      <xdr:col>61</xdr:col>
      <xdr:colOff>727205</xdr:colOff>
      <xdr:row>36</xdr:row>
      <xdr:rowOff>87718</xdr:rowOff>
    </xdr:from>
    <xdr:ext cx="13856999" cy="8201348"/>
    <xdr:sp macro="" textlink="">
      <xdr:nvSpPr>
        <xdr:cNvPr id="46" name="CaixaDeTexto 45">
          <a:extLst>
            <a:ext uri="{FF2B5EF4-FFF2-40B4-BE49-F238E27FC236}">
              <a16:creationId xmlns:a16="http://schemas.microsoft.com/office/drawing/2014/main" id="{05105D5E-6C37-40B9-AE87-DE1276453FB9}"/>
            </a:ext>
          </a:extLst>
        </xdr:cNvPr>
        <xdr:cNvSpPr txBox="1"/>
      </xdr:nvSpPr>
      <xdr:spPr>
        <a:xfrm>
          <a:off x="66907400" y="6829439"/>
          <a:ext cx="13856999" cy="8201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financeira das movimentações no mercado de transferências de atletas realizadas pelo Tottenham Hotspur entre as temporadas 2019/20 e 2024/25 sugere que</a:t>
          </a:r>
          <a:br>
            <a:rPr lang="pt-BR" sz="1400" b="0" i="0" baseline="0"/>
          </a:br>
          <a:r>
            <a:rPr lang="pt-BR" sz="1400" b="0" i="0" baseline="0"/>
            <a:t>o clube tenha adotado uma postura </a:t>
          </a:r>
          <a:r>
            <a:rPr lang="pt-BR" sz="1400" b="1" i="0" baseline="0"/>
            <a:t>incisiva</a:t>
          </a:r>
          <a:r>
            <a:rPr lang="pt-BR" sz="1400" b="0" i="0" baseline="0"/>
            <a:t> no que diz respeito à contratações — uma vez que </a:t>
          </a:r>
          <a:r>
            <a:rPr lang="pt-BR" sz="1400" b="1" i="0" baseline="0"/>
            <a:t>£553.2 milhões </a:t>
          </a:r>
          <a:r>
            <a:rPr lang="pt-BR" sz="1400" b="0" i="0" baseline="0"/>
            <a:t>foram investidos em jogadores durante o período. Esse</a:t>
          </a:r>
          <a:br>
            <a:rPr lang="pt-BR" sz="1400" b="0" i="0" baseline="0"/>
          </a:br>
          <a:r>
            <a:rPr lang="pt-BR" sz="1400" b="0" i="0" baseline="0"/>
            <a:t> valor contrasta-se significativamente com os </a:t>
          </a:r>
          <a:r>
            <a:rPr lang="pt-BR" sz="1400" b="1" i="0" baseline="0"/>
            <a:t>£179.8 milhões </a:t>
          </a:r>
          <a:r>
            <a:rPr lang="pt-BR" sz="1400" b="0" i="0" baseline="0"/>
            <a:t>provenientes das saídas de atletas, onde 52,8% deste montante representava apenas um atleta: Harry Kane.</a:t>
          </a:r>
          <a:br>
            <a:rPr lang="pt-BR" sz="1400" b="0" i="0" baseline="0"/>
          </a:br>
          <a:r>
            <a:rPr lang="pt-BR" sz="1400" b="0" i="0" baseline="0"/>
            <a:t>Os fatos apresentados reforçam o indicativo de que a equipe assumiu uma identidade </a:t>
          </a:r>
          <a:r>
            <a:rPr lang="pt-BR" sz="1400" b="1" i="0" baseline="0"/>
            <a:t>compradora</a:t>
          </a:r>
          <a:r>
            <a:rPr lang="pt-BR" sz="1400" b="0" i="0" baseline="0">
              <a:solidFill>
                <a:schemeClr val="tx1"/>
              </a:solidFill>
              <a:effectLst/>
              <a:latin typeface="+mn-lt"/>
              <a:ea typeface="+mn-ea"/>
              <a:cs typeface="+mn-cs"/>
            </a:rPr>
            <a:t>, principalmente quando alinhados ao déficit de </a:t>
          </a:r>
          <a:r>
            <a:rPr lang="pt-BR" sz="1400" b="1" i="0" baseline="0">
              <a:solidFill>
                <a:schemeClr val="tx1"/>
              </a:solidFill>
              <a:effectLst/>
              <a:latin typeface="+mn-lt"/>
              <a:ea typeface="+mn-ea"/>
              <a:cs typeface="+mn-cs"/>
            </a:rPr>
            <a:t>-£373.4 milhões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registrado durante o período.</a:t>
          </a:r>
          <a:br>
            <a:rPr lang="pt-BR" sz="1400" b="0" i="0" baseline="0"/>
          </a:br>
          <a:endParaRPr lang="pt-BR" sz="1400" b="0" i="0" baseline="0"/>
        </a:p>
        <a:p>
          <a:pPr marL="0" marR="0" lvl="0" indent="0" algn="ctr" defTabSz="914400" eaLnBrk="1" fontAlgn="auto" latinLnBrk="0" hangingPunct="1">
            <a:lnSpc>
              <a:spcPct val="100000"/>
            </a:lnSpc>
            <a:spcBef>
              <a:spcPts val="0"/>
            </a:spcBef>
            <a:spcAft>
              <a:spcPts val="0"/>
            </a:spcAft>
            <a:buClrTx/>
            <a:buSzTx/>
            <a:buFontTx/>
            <a:buNone/>
            <a:tabLst/>
            <a:defRPr/>
          </a:pPr>
          <a:r>
            <a:rPr lang="pt-BR" sz="1400" b="0" baseline="0">
              <a:solidFill>
                <a:schemeClr val="tx1"/>
              </a:solidFill>
              <a:effectLst/>
              <a:latin typeface="+mn-lt"/>
              <a:ea typeface="+mn-ea"/>
              <a:cs typeface="+mn-cs"/>
            </a:rPr>
            <a:t>O investimento do Tottenham Hotspur foi distribuído entre meio-campistas, atacantes e defensores </a:t>
          </a:r>
          <a:r>
            <a:rPr lang="pt-BR" sz="1400" b="0" i="0" baseline="0">
              <a:solidFill>
                <a:schemeClr val="tx1"/>
              </a:solidFill>
              <a:effectLst/>
              <a:latin typeface="+mn-lt"/>
              <a:ea typeface="+mn-ea"/>
              <a:cs typeface="+mn-cs"/>
            </a:rPr>
            <a:t>—</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representando, respectivamente, </a:t>
          </a:r>
          <a:r>
            <a:rPr lang="pt-BR" sz="1400" b="1" i="0" baseline="0">
              <a:solidFill>
                <a:schemeClr val="tx1"/>
              </a:solidFill>
              <a:effectLst/>
              <a:latin typeface="+mn-lt"/>
              <a:ea typeface="+mn-ea"/>
              <a:cs typeface="+mn-cs"/>
            </a:rPr>
            <a:t>38,7%</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36,2%</a:t>
          </a:r>
          <a:r>
            <a:rPr lang="pt-BR" sz="1400" b="0" i="0" baseline="0">
              <a:solidFill>
                <a:schemeClr val="tx1"/>
              </a:solidFill>
              <a:effectLst/>
              <a:latin typeface="+mn-lt"/>
              <a:ea typeface="+mn-ea"/>
              <a:cs typeface="+mn-cs"/>
            </a:rPr>
            <a:t> e </a:t>
          </a:r>
          <a:r>
            <a:rPr lang="pt-BR" sz="1400" b="1" i="0" baseline="0">
              <a:solidFill>
                <a:schemeClr val="tx1"/>
              </a:solidFill>
              <a:effectLst/>
              <a:latin typeface="+mn-lt"/>
              <a:ea typeface="+mn-ea"/>
              <a:cs typeface="+mn-cs"/>
            </a:rPr>
            <a:t>25,1% </a:t>
          </a:r>
          <a:r>
            <a:rPr lang="pt-BR" sz="1400" b="0" i="0" baseline="0">
              <a:solidFill>
                <a:schemeClr val="tx1"/>
              </a:solidFill>
              <a:effectLst/>
              <a:latin typeface="+mn-lt"/>
              <a:ea typeface="+mn-ea"/>
              <a:cs typeface="+mn-cs"/>
            </a:rPr>
            <a:t>do total.</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Os dados indicam que o clube possivelmente tenha desbravado o mercado de transferências visando jogadores com perfis </a:t>
          </a:r>
          <a:r>
            <a:rPr lang="pt-BR" sz="1400" b="1" i="0" baseline="0">
              <a:solidFill>
                <a:schemeClr val="tx1"/>
              </a:solidFill>
              <a:effectLst/>
              <a:latin typeface="+mn-lt"/>
              <a:ea typeface="+mn-ea"/>
              <a:cs typeface="+mn-cs"/>
            </a:rPr>
            <a:t>ofensivos</a:t>
          </a:r>
          <a:r>
            <a:rPr lang="pt-BR" sz="1400" b="0" i="0" baseline="0">
              <a:solidFill>
                <a:schemeClr val="tx1"/>
              </a:solidFill>
              <a:effectLst/>
              <a:latin typeface="+mn-lt"/>
              <a:ea typeface="+mn-ea"/>
              <a:cs typeface="+mn-cs"/>
            </a:rPr>
            <a:t> e que </a:t>
          </a:r>
          <a:r>
            <a:rPr lang="pt-BR" sz="1400" b="1" i="0" baseline="0">
              <a:solidFill>
                <a:schemeClr val="tx1"/>
              </a:solidFill>
              <a:effectLst/>
              <a:latin typeface="+mn-lt"/>
              <a:ea typeface="+mn-ea"/>
              <a:cs typeface="+mn-cs"/>
            </a:rPr>
            <a:t>controlem</a:t>
          </a:r>
          <a:r>
            <a:rPr lang="pt-BR" sz="1400" b="0" i="0" baseline="0">
              <a:solidFill>
                <a:schemeClr val="tx1"/>
              </a:solidFill>
              <a:effectLst/>
              <a:latin typeface="+mn-lt"/>
              <a:ea typeface="+mn-ea"/>
              <a:cs typeface="+mn-cs"/>
            </a:rPr>
            <a:t> o setor do meio-campo,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visto que, juntas, suas posições compõem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entradas.</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Em relação ao perfil etário das contratações, identificou-se que </a:t>
          </a:r>
          <a:r>
            <a:rPr lang="pt-BR" sz="1400" b="1" i="0" baseline="0">
              <a:solidFill>
                <a:schemeClr val="tx1"/>
              </a:solidFill>
              <a:effectLst/>
              <a:latin typeface="+mn-lt"/>
              <a:ea typeface="+mn-ea"/>
              <a:cs typeface="+mn-cs"/>
            </a:rPr>
            <a:t>69%</a:t>
          </a:r>
          <a:r>
            <a:rPr lang="pt-BR" sz="1400" b="0" i="0" baseline="0">
              <a:solidFill>
                <a:schemeClr val="tx1"/>
              </a:solidFill>
              <a:effectLst/>
              <a:latin typeface="+mn-lt"/>
              <a:ea typeface="+mn-ea"/>
              <a:cs typeface="+mn-cs"/>
            </a:rPr>
            <a:t> dos atletas eram jovens que possuíam entre 21 e 25 anos, enquanto </a:t>
          </a:r>
          <a:r>
            <a:rPr lang="pt-BR" sz="1400" b="1" i="0" baseline="0">
              <a:solidFill>
                <a:schemeClr val="tx1"/>
              </a:solidFill>
              <a:effectLst/>
              <a:latin typeface="+mn-lt"/>
              <a:ea typeface="+mn-ea"/>
              <a:cs typeface="+mn-cs"/>
            </a:rPr>
            <a:t>19% </a:t>
          </a:r>
          <a:r>
            <a:rPr lang="pt-BR" sz="1400" b="0" i="0" baseline="0">
              <a:solidFill>
                <a:schemeClr val="tx1"/>
              </a:solidFill>
              <a:effectLst/>
              <a:latin typeface="+mn-lt"/>
              <a:ea typeface="+mn-ea"/>
              <a:cs typeface="+mn-cs"/>
            </a:rPr>
            <a:t>concentravam-se em jogadores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experientes, dos 26 aos 30 anos. Ativos muito jovens ou veteranos também marcaram presença, registrando </a:t>
          </a:r>
          <a:r>
            <a:rPr lang="pt-BR" sz="1400" b="1" i="0" baseline="0">
              <a:solidFill>
                <a:schemeClr val="tx1"/>
              </a:solidFill>
              <a:effectLst/>
              <a:latin typeface="+mn-lt"/>
              <a:ea typeface="+mn-ea"/>
              <a:cs typeface="+mn-cs"/>
            </a:rPr>
            <a:t>6% </a:t>
          </a:r>
          <a:r>
            <a:rPr lang="pt-BR" sz="1400" b="0" i="0" baseline="0">
              <a:solidFill>
                <a:schemeClr val="tx1"/>
              </a:solidFill>
              <a:effectLst/>
              <a:latin typeface="+mn-lt"/>
              <a:ea typeface="+mn-ea"/>
              <a:cs typeface="+mn-cs"/>
            </a:rPr>
            <a:t>cada. Embora os dados tenham apresentado um distanciamento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similar entre as duas categorias "extremas" citadas anteriormente e o restante do conjunto, uma delas tornou-se fundamental para compreender o comportamento do Tottenham</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Hotspur: a faixa etária batizada de </a:t>
          </a:r>
          <a:r>
            <a:rPr lang="pt-BR" sz="1400" b="1" i="0" baseline="0">
              <a:solidFill>
                <a:schemeClr val="tx1"/>
              </a:solidFill>
              <a:effectLst/>
              <a:latin typeface="+mn-lt"/>
              <a:ea typeface="+mn-ea"/>
              <a:cs typeface="+mn-cs"/>
            </a:rPr>
            <a:t>muito jovem</a:t>
          </a:r>
          <a:r>
            <a:rPr lang="pt-BR" sz="1400" b="0" i="0" baseline="0">
              <a:solidFill>
                <a:schemeClr val="tx1"/>
              </a:solidFill>
              <a:effectLst/>
              <a:latin typeface="+mn-lt"/>
              <a:ea typeface="+mn-ea"/>
              <a:cs typeface="+mn-cs"/>
            </a:rPr>
            <a:t> (16 até 20 anos)</a:t>
          </a:r>
          <a:r>
            <a:rPr lang="pt-BR" sz="1400" b="1"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 que conta com apenas um jogador, sendo ele Archie Gray. Somando-a à categoria </a:t>
          </a:r>
          <a:r>
            <a:rPr lang="pt-BR" sz="1400" b="1" i="0" baseline="0">
              <a:solidFill>
                <a:schemeClr val="tx1"/>
              </a:solidFill>
              <a:effectLst/>
              <a:latin typeface="+mn-lt"/>
              <a:ea typeface="+mn-ea"/>
              <a:cs typeface="+mn-cs"/>
            </a:rPr>
            <a:t>jovem</a:t>
          </a:r>
          <a:r>
            <a:rPr lang="pt-BR" sz="1400" b="0" i="0" baseline="0">
              <a:solidFill>
                <a:schemeClr val="tx1"/>
              </a:solidFill>
              <a:effectLst/>
              <a:latin typeface="+mn-lt"/>
              <a:ea typeface="+mn-ea"/>
              <a:cs typeface="+mn-cs"/>
            </a:rPr>
            <a:t>, é possível concluir que</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contratações giraram em torno de ativos entre </a:t>
          </a:r>
          <a:r>
            <a:rPr lang="pt-BR" sz="1400" b="1" i="0" baseline="0">
              <a:solidFill>
                <a:schemeClr val="tx1"/>
              </a:solidFill>
              <a:effectLst/>
              <a:latin typeface="+mn-lt"/>
              <a:ea typeface="+mn-ea"/>
              <a:cs typeface="+mn-cs"/>
            </a:rPr>
            <a:t>16 e 25 anos</a:t>
          </a:r>
          <a:r>
            <a:rPr lang="pt-BR" sz="1400" b="0" i="0" baseline="0">
              <a:solidFill>
                <a:schemeClr val="tx1"/>
              </a:solidFill>
              <a:effectLst/>
              <a:latin typeface="+mn-lt"/>
              <a:ea typeface="+mn-ea"/>
              <a:cs typeface="+mn-cs"/>
            </a:rPr>
            <a:t>, portanto, jovens. O fato apresentado indica que o clube possivelmente adentrou o mercado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transferências buscando um perfil </a:t>
          </a:r>
          <a:r>
            <a:rPr lang="pt-BR" sz="1400" b="1" i="0" baseline="0">
              <a:solidFill>
                <a:schemeClr val="tx1"/>
              </a:solidFill>
              <a:effectLst/>
              <a:latin typeface="+mn-lt"/>
              <a:ea typeface="+mn-ea"/>
              <a:cs typeface="+mn-cs"/>
            </a:rPr>
            <a:t>jovem</a:t>
          </a:r>
          <a:r>
            <a:rPr lang="pt-BR" sz="1400" b="0" i="0" baseline="0">
              <a:solidFill>
                <a:schemeClr val="tx1"/>
              </a:solidFill>
              <a:effectLst/>
              <a:latin typeface="+mn-lt"/>
              <a:ea typeface="+mn-ea"/>
              <a:cs typeface="+mn-cs"/>
            </a:rPr>
            <a:t>, que possui potencial para se desenvolver, sem desconsiderar jogadores consolidados e mais experientes, compondo um elenco </a:t>
          </a:r>
          <a:r>
            <a:rPr lang="pt-BR" sz="1400" b="1" i="0" baseline="0">
              <a:solidFill>
                <a:schemeClr val="tx1"/>
              </a:solidFill>
              <a:effectLst/>
              <a:latin typeface="+mn-lt"/>
              <a:ea typeface="+mn-ea"/>
              <a:cs typeface="+mn-cs"/>
            </a:rPr>
            <a:t>mesclado</a:t>
          </a:r>
          <a:r>
            <a:rPr lang="pt-BR" sz="1400" b="0" i="0" baseline="0">
              <a:solidFill>
                <a:schemeClr val="tx1"/>
              </a:solidFill>
              <a:effectLst/>
              <a:latin typeface="+mn-lt"/>
              <a:ea typeface="+mn-ea"/>
              <a:cs typeface="+mn-cs"/>
            </a:rPr>
            <a:t>.</a:t>
          </a:r>
        </a:p>
        <a:p>
          <a:pPr marL="0" marR="0" lvl="0" indent="0" algn="ctr" defTabSz="914400" eaLnBrk="1" fontAlgn="auto" latinLnBrk="0" hangingPunct="1">
            <a:lnSpc>
              <a:spcPct val="100000"/>
            </a:lnSpc>
            <a:spcBef>
              <a:spcPts val="0"/>
            </a:spcBef>
            <a:spcAft>
              <a:spcPts val="0"/>
            </a:spcAft>
            <a:buClrTx/>
            <a:buSzTx/>
            <a:buFontTx/>
            <a:buNone/>
            <a:tabLst/>
            <a:defRPr/>
          </a:pPr>
          <a:endParaRPr lang="pt-BR" sz="1400" b="0" i="0" baseline="0">
            <a:solidFill>
              <a:schemeClr val="tx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a:effectLst/>
            </a:rPr>
            <a:t>No que diz respeito às</a:t>
          </a:r>
          <a:r>
            <a:rPr lang="pt-BR" sz="1400" baseline="0">
              <a:effectLst/>
            </a:rPr>
            <a:t> nacionalidades dos atletas, não foi possível identificar um padrão quanto suas presenças nas contratações do clube. O principal fator para tal foi a</a:t>
          </a:r>
          <a:endParaRPr lang="pt-BR" sz="1400" b="1" baseline="0">
            <a:effectLst/>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b="1" baseline="0">
              <a:effectLst/>
            </a:rPr>
            <a:t>diversidade</a:t>
          </a:r>
          <a:r>
            <a:rPr lang="pt-BR" sz="1400" b="0" baseline="0">
              <a:effectLst/>
            </a:rPr>
            <a:t> de nações encontradas, contabilizando </a:t>
          </a:r>
          <a:r>
            <a:rPr lang="pt-BR" sz="1400" b="1" baseline="0">
              <a:effectLst/>
            </a:rPr>
            <a:t>16</a:t>
          </a:r>
          <a:r>
            <a:rPr lang="pt-BR" sz="1400" b="0" baseline="0">
              <a:effectLst/>
            </a:rPr>
            <a:t> jogadores entre </a:t>
          </a:r>
          <a:r>
            <a:rPr lang="pt-BR" sz="1400" b="1" baseline="0">
              <a:effectLst/>
            </a:rPr>
            <a:t>13</a:t>
          </a:r>
          <a:r>
            <a:rPr lang="pt-BR" sz="1400" b="0" baseline="0">
              <a:effectLst/>
            </a:rPr>
            <a:t> países. Em decorrência, ingleses e neerlandeses, líderes da lista com </a:t>
          </a:r>
          <a:r>
            <a:rPr lang="pt-BR" sz="1400" b="1" baseline="0">
              <a:effectLst/>
            </a:rPr>
            <a:t>3</a:t>
          </a:r>
          <a:r>
            <a:rPr lang="pt-BR" sz="1400" b="0" baseline="0">
              <a:effectLst/>
            </a:rPr>
            <a:t> e </a:t>
          </a:r>
          <a:r>
            <a:rPr lang="pt-BR" sz="1400" b="1" baseline="0">
              <a:effectLst/>
            </a:rPr>
            <a:t>2</a:t>
          </a:r>
          <a:r>
            <a:rPr lang="pt-BR" sz="1400" b="0" baseline="0">
              <a:effectLst/>
            </a:rPr>
            <a:t> atletas respectivamente,</a:t>
          </a:r>
          <a:br>
            <a:rPr lang="pt-BR" sz="1400" b="0" baseline="0">
              <a:effectLst/>
            </a:rPr>
          </a:br>
          <a:r>
            <a:rPr lang="pt-BR" sz="1400" b="0" baseline="0">
              <a:effectLst/>
            </a:rPr>
            <a:t>dificilmente podem ser considerados como modelos. No entanto, como forma de enriquecer a análise, é importante levar em consideração quais foram os clubes de origem dos</a:t>
          </a:r>
          <a:br>
            <a:rPr lang="pt-BR" sz="1400" b="0" baseline="0">
              <a:effectLst/>
            </a:rPr>
          </a:br>
          <a:r>
            <a:rPr lang="pt-BR" sz="1400" b="0" baseline="0">
              <a:effectLst/>
            </a:rPr>
            <a:t>jogadores envolvidos nas negociações, incluindo os representantes de ambas as nações. Notou-se que o Tottenham Hotspur, possivelmente alinhando-se com uma estratégia do</a:t>
          </a:r>
          <a:br>
            <a:rPr lang="pt-BR" sz="1400" b="0" baseline="0">
              <a:effectLst/>
            </a:rPr>
          </a:br>
          <a:r>
            <a:rPr lang="pt-BR" sz="1400" b="0" baseline="0">
              <a:effectLst/>
            </a:rPr>
            <a:t>seu departamento de </a:t>
          </a:r>
          <a:r>
            <a:rPr lang="pt-BR" sz="1400" b="0" i="1" baseline="0">
              <a:effectLst/>
            </a:rPr>
            <a:t>scouting</a:t>
          </a:r>
          <a:r>
            <a:rPr lang="pt-BR" sz="1400" b="0" i="0" baseline="0">
              <a:effectLst/>
            </a:rPr>
            <a:t>, mapeou ativos presentes em diversos mercados europeus</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sem estarem necessariamente ligados à nacionalidade daquele país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como é o caso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Cristian Romero, defensor </a:t>
          </a:r>
          <a:r>
            <a:rPr lang="pt-BR" sz="1400" b="1" i="0" baseline="0">
              <a:solidFill>
                <a:schemeClr val="tx1"/>
              </a:solidFill>
              <a:effectLst/>
              <a:latin typeface="+mn-lt"/>
              <a:ea typeface="+mn-ea"/>
              <a:cs typeface="+mn-cs"/>
            </a:rPr>
            <a:t>argentino</a:t>
          </a:r>
          <a:r>
            <a:rPr lang="pt-BR" sz="1400" b="0" i="0" baseline="0">
              <a:solidFill>
                <a:schemeClr val="tx1"/>
              </a:solidFill>
              <a:effectLst/>
              <a:latin typeface="+mn-lt"/>
              <a:ea typeface="+mn-ea"/>
              <a:cs typeface="+mn-cs"/>
            </a:rPr>
            <a:t> adquirido enquanto atuava pela Atalanta, um clube </a:t>
          </a:r>
          <a:r>
            <a:rPr lang="pt-BR" sz="1400" b="1" i="0" baseline="0">
              <a:solidFill>
                <a:schemeClr val="tx1"/>
              </a:solidFill>
              <a:effectLst/>
              <a:latin typeface="+mn-lt"/>
              <a:ea typeface="+mn-ea"/>
              <a:cs typeface="+mn-cs"/>
            </a:rPr>
            <a:t>italiano</a:t>
          </a:r>
          <a:r>
            <a:rPr lang="pt-BR" sz="1400" b="0" i="0" baseline="0">
              <a:solidFill>
                <a:schemeClr val="tx1"/>
              </a:solidFill>
              <a:effectLst/>
              <a:latin typeface="+mn-lt"/>
              <a:ea typeface="+mn-ea"/>
              <a:cs typeface="+mn-cs"/>
            </a:rPr>
            <a:t>. Também foi possível identificar que a equipe não se distanciou do mercado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doméstico, visto que </a:t>
          </a:r>
          <a:r>
            <a:rPr lang="pt-BR" sz="1400" b="1" i="0" baseline="0">
              <a:solidFill>
                <a:schemeClr val="tx1"/>
              </a:solidFill>
              <a:effectLst/>
              <a:latin typeface="+mn-lt"/>
              <a:ea typeface="+mn-ea"/>
              <a:cs typeface="+mn-cs"/>
            </a:rPr>
            <a:t>todos</a:t>
          </a:r>
          <a:r>
            <a:rPr lang="pt-BR" sz="1400" b="0" i="0" baseline="0">
              <a:solidFill>
                <a:schemeClr val="tx1"/>
              </a:solidFill>
              <a:effectLst/>
              <a:latin typeface="+mn-lt"/>
              <a:ea typeface="+mn-ea"/>
              <a:cs typeface="+mn-cs"/>
            </a:rPr>
            <a:t> os atletas ingleses foram contratados enquanto jogavam por compatriotas dos Spurs, como Leeds United, Bournemouth e Leicester City. Todos 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indicadores apresentados reforçam a ideia de um elenco caracterizado pela </a:t>
          </a:r>
          <a:r>
            <a:rPr lang="pt-BR" sz="1400" b="1" i="0" baseline="0">
              <a:solidFill>
                <a:schemeClr val="tx1"/>
              </a:solidFill>
              <a:effectLst/>
              <a:latin typeface="+mn-lt"/>
              <a:ea typeface="+mn-ea"/>
              <a:cs typeface="+mn-cs"/>
            </a:rPr>
            <a:t>pluralidade</a:t>
          </a:r>
          <a:r>
            <a:rPr lang="pt-BR" sz="1400" b="0" i="0" baseline="0">
              <a:solidFill>
                <a:schemeClr val="tx1"/>
              </a:solidFill>
              <a:effectLst/>
              <a:latin typeface="+mn-lt"/>
              <a:ea typeface="+mn-ea"/>
              <a:cs typeface="+mn-cs"/>
            </a:rPr>
            <a:t>.</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Embora o valor gasto em contratações seja visto como destaque, a quantia </a:t>
          </a:r>
          <a:r>
            <a:rPr lang="pt-BR" sz="1400" b="1" i="0" baseline="0">
              <a:solidFill>
                <a:schemeClr val="tx1"/>
              </a:solidFill>
              <a:effectLst/>
              <a:latin typeface="+mn-lt"/>
              <a:ea typeface="+mn-ea"/>
              <a:cs typeface="+mn-cs"/>
            </a:rPr>
            <a:t>recebida</a:t>
          </a:r>
          <a:r>
            <a:rPr lang="pt-BR" sz="1400" b="0" i="0" baseline="0">
              <a:solidFill>
                <a:schemeClr val="tx1"/>
              </a:solidFill>
              <a:effectLst/>
              <a:latin typeface="+mn-lt"/>
              <a:ea typeface="+mn-ea"/>
              <a:cs typeface="+mn-cs"/>
            </a:rPr>
            <a:t> através das saídas de jogadores também impactou o clube. Foram registradas despedidas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apenas </a:t>
          </a:r>
          <a:r>
            <a:rPr lang="pt-BR" sz="1400" b="1" i="0" baseline="0">
              <a:solidFill>
                <a:schemeClr val="tx1"/>
              </a:solidFill>
              <a:effectLst/>
              <a:latin typeface="+mn-lt"/>
              <a:ea typeface="+mn-ea"/>
              <a:cs typeface="+mn-cs"/>
            </a:rPr>
            <a:t>6</a:t>
          </a:r>
          <a:r>
            <a:rPr lang="pt-BR" sz="1400" b="0" i="0" baseline="0">
              <a:solidFill>
                <a:schemeClr val="tx1"/>
              </a:solidFill>
              <a:effectLst/>
              <a:latin typeface="+mn-lt"/>
              <a:ea typeface="+mn-ea"/>
              <a:cs typeface="+mn-cs"/>
            </a:rPr>
            <a:t> ativos que, juntas, reuniram </a:t>
          </a:r>
          <a:r>
            <a:rPr lang="pt-BR" sz="1400" b="1" i="0" baseline="0">
              <a:solidFill>
                <a:schemeClr val="tx1"/>
              </a:solidFill>
              <a:effectLst/>
              <a:latin typeface="+mn-lt"/>
              <a:ea typeface="+mn-ea"/>
              <a:cs typeface="+mn-cs"/>
            </a:rPr>
            <a:t>£179.8 milhões </a:t>
          </a:r>
          <a:r>
            <a:rPr lang="pt-BR" sz="1400" b="0" i="0" baseline="0">
              <a:solidFill>
                <a:schemeClr val="tx1"/>
              </a:solidFill>
              <a:effectLst/>
              <a:latin typeface="+mn-lt"/>
              <a:ea typeface="+mn-ea"/>
              <a:cs typeface="+mn-cs"/>
            </a:rPr>
            <a:t>aos cofres londrinos. Uma das movimentações mencionadas foi relacionada ao defensor belga Jan Vertoghen, que deixou</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o clube livremente e sem custos na temporada 2020/21 — portanto, é possível concluir que </a:t>
          </a:r>
          <a:r>
            <a:rPr lang="pt-BR" sz="1400" b="1" i="0" baseline="0">
              <a:solidFill>
                <a:schemeClr val="tx1"/>
              </a:solidFill>
              <a:effectLst/>
              <a:latin typeface="+mn-lt"/>
              <a:ea typeface="+mn-ea"/>
              <a:cs typeface="+mn-cs"/>
            </a:rPr>
            <a:t>5</a:t>
          </a:r>
          <a:r>
            <a:rPr lang="pt-BR" sz="1400" b="0" i="0" baseline="0">
              <a:solidFill>
                <a:schemeClr val="tx1"/>
              </a:solidFill>
              <a:effectLst/>
              <a:latin typeface="+mn-lt"/>
              <a:ea typeface="+mn-ea"/>
              <a:cs typeface="+mn-cs"/>
            </a:rPr>
            <a:t> das transferências realmente renderam à equipe. Cerca de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das vendas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pertenciam à atacantes, </a:t>
          </a:r>
          <a:r>
            <a:rPr lang="pt-BR" sz="1400" b="1" i="0" baseline="0">
              <a:solidFill>
                <a:schemeClr val="tx1"/>
              </a:solidFill>
              <a:effectLst/>
              <a:latin typeface="+mn-lt"/>
              <a:ea typeface="+mn-ea"/>
              <a:cs typeface="+mn-cs"/>
            </a:rPr>
            <a:t>22,5%</a:t>
          </a:r>
          <a:r>
            <a:rPr lang="pt-BR" sz="1400" b="0" i="0" baseline="0">
              <a:solidFill>
                <a:schemeClr val="tx1"/>
              </a:solidFill>
              <a:effectLst/>
              <a:latin typeface="+mn-lt"/>
              <a:ea typeface="+mn-ea"/>
              <a:cs typeface="+mn-cs"/>
            </a:rPr>
            <a:t> à meio-campistas e, por fim, </a:t>
          </a:r>
          <a:r>
            <a:rPr lang="pt-BR" sz="1400" b="1" i="0" baseline="0">
              <a:solidFill>
                <a:schemeClr val="tx1"/>
              </a:solidFill>
              <a:effectLst/>
              <a:latin typeface="+mn-lt"/>
              <a:ea typeface="+mn-ea"/>
              <a:cs typeface="+mn-cs"/>
            </a:rPr>
            <a:t>7,2%</a:t>
          </a:r>
          <a:r>
            <a:rPr lang="pt-BR" sz="1400" b="0" i="0" baseline="0">
              <a:solidFill>
                <a:schemeClr val="tx1"/>
              </a:solidFill>
              <a:effectLst/>
              <a:latin typeface="+mn-lt"/>
              <a:ea typeface="+mn-ea"/>
              <a:cs typeface="+mn-cs"/>
            </a:rPr>
            <a:t> aos defensores. Como citado anteriormente, </a:t>
          </a:r>
          <a:r>
            <a:rPr lang="pt-BR" sz="1400" b="1" i="0" baseline="0">
              <a:solidFill>
                <a:schemeClr val="tx1"/>
              </a:solidFill>
              <a:effectLst/>
              <a:latin typeface="+mn-lt"/>
              <a:ea typeface="+mn-ea"/>
              <a:cs typeface="+mn-cs"/>
            </a:rPr>
            <a:t>52,8%</a:t>
          </a:r>
          <a:r>
            <a:rPr lang="pt-BR" sz="1400" b="0" i="0" baseline="0">
              <a:solidFill>
                <a:schemeClr val="tx1"/>
              </a:solidFill>
              <a:effectLst/>
              <a:latin typeface="+mn-lt"/>
              <a:ea typeface="+mn-ea"/>
              <a:cs typeface="+mn-cs"/>
            </a:rPr>
            <a:t> do montante envolvia a saída de apenas um atleta: o atacante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inglês Harry Kane. Sozinha, sua venda gerou </a:t>
          </a:r>
          <a:r>
            <a:rPr lang="pt-BR" sz="1400" b="1" i="0" baseline="0">
              <a:solidFill>
                <a:schemeClr val="tx1"/>
              </a:solidFill>
              <a:effectLst/>
              <a:latin typeface="+mn-lt"/>
              <a:ea typeface="+mn-ea"/>
              <a:cs typeface="+mn-cs"/>
            </a:rPr>
            <a:t>£95 milhões</a:t>
          </a:r>
          <a:r>
            <a:rPr lang="pt-BR" sz="1400" b="0" i="0" baseline="0">
              <a:solidFill>
                <a:schemeClr val="tx1"/>
              </a:solidFill>
              <a:effectLst/>
              <a:latin typeface="+mn-lt"/>
              <a:ea typeface="+mn-ea"/>
              <a:cs typeface="+mn-cs"/>
            </a:rPr>
            <a:t>, quantia superior à soma de todas as outras. Seu companheiro de ataque, Steve Bergwijn, também arrecadou um valor</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significativo ao Tottenham Hotspur: cerca de </a:t>
          </a:r>
          <a:r>
            <a:rPr lang="pt-BR" sz="1400" b="1" i="0" baseline="0">
              <a:solidFill>
                <a:schemeClr val="tx1"/>
              </a:solidFill>
              <a:effectLst/>
              <a:latin typeface="+mn-lt"/>
              <a:ea typeface="+mn-ea"/>
              <a:cs typeface="+mn-cs"/>
            </a:rPr>
            <a:t>£31 milhões</a:t>
          </a:r>
          <a:r>
            <a:rPr lang="pt-BR" sz="1400" b="0" i="0" baseline="0">
              <a:solidFill>
                <a:schemeClr val="tx1"/>
              </a:solidFill>
              <a:effectLst/>
              <a:latin typeface="+mn-lt"/>
              <a:ea typeface="+mn-ea"/>
              <a:cs typeface="+mn-cs"/>
            </a:rPr>
            <a:t>, se sobrepondo individualmente aos valores dos meio-campistas e defensores. Em resumo, as vendas acabaram</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concentrando-se</a:t>
          </a:r>
          <a:r>
            <a:rPr lang="pt-BR" sz="1400" b="0" i="0" baseline="0">
              <a:solidFill>
                <a:schemeClr val="tx1"/>
              </a:solidFill>
              <a:effectLst/>
              <a:latin typeface="+mn-lt"/>
              <a:ea typeface="+mn-ea"/>
              <a:cs typeface="+mn-cs"/>
            </a:rPr>
            <a:t> nos atacantes e, embora não haja indícios suficientes para determinar quais foram as razões por trás delas, continuam sendo peças importantes para a compreensão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do comportamento financeiro do clube.</a:t>
          </a:r>
        </a:p>
        <a:p>
          <a:pPr marL="0" marR="0" lvl="0" indent="0" algn="ctr" defTabSz="914400" eaLnBrk="1" fontAlgn="auto" latinLnBrk="0" hangingPunct="1">
            <a:lnSpc>
              <a:spcPct val="100000"/>
            </a:lnSpc>
            <a:spcBef>
              <a:spcPts val="0"/>
            </a:spcBef>
            <a:spcAft>
              <a:spcPts val="0"/>
            </a:spcAft>
            <a:buClrTx/>
            <a:buSzTx/>
            <a:buFontTx/>
            <a:buNone/>
            <a:tabLst/>
            <a:defRPr/>
          </a:pPr>
          <a:endParaRPr lang="pt-BR" sz="1400" b="0" i="0" baseline="0">
            <a:solidFill>
              <a:schemeClr val="tx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b="0" i="0" baseline="0">
              <a:solidFill>
                <a:schemeClr val="tx1"/>
              </a:solidFill>
              <a:effectLst/>
              <a:latin typeface="+mn-lt"/>
              <a:ea typeface="+mn-ea"/>
              <a:cs typeface="+mn-cs"/>
            </a:rPr>
            <a:t>Resumidamente, pode-se dizer que as movimentações financeiras do Tottenham Hotspur entre as temporadas 2019/20 e 2024/25 foram caracterizadas pela </a:t>
          </a:r>
          <a:r>
            <a:rPr lang="pt-BR" sz="1400" b="1" i="0" baseline="0">
              <a:solidFill>
                <a:schemeClr val="tx1"/>
              </a:solidFill>
              <a:effectLst/>
              <a:latin typeface="+mn-lt"/>
              <a:ea typeface="+mn-ea"/>
              <a:cs typeface="+mn-cs"/>
            </a:rPr>
            <a:t>incisividade</a:t>
          </a:r>
          <a:r>
            <a:rPr lang="pt-BR" sz="1400" b="0" i="0" baseline="0">
              <a:solidFill>
                <a:schemeClr val="tx1"/>
              </a:solidFill>
              <a:effectLst/>
              <a:latin typeface="+mn-lt"/>
              <a:ea typeface="+mn-ea"/>
              <a:cs typeface="+mn-cs"/>
            </a:rPr>
            <a:t> em contratações,</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diversidade</a:t>
          </a:r>
          <a:r>
            <a:rPr lang="pt-BR" sz="1400" b="0" i="0" baseline="0">
              <a:solidFill>
                <a:schemeClr val="tx1"/>
              </a:solidFill>
              <a:effectLst/>
              <a:latin typeface="+mn-lt"/>
              <a:ea typeface="+mn-ea"/>
              <a:cs typeface="+mn-cs"/>
            </a:rPr>
            <a:t> nas posições investidas, busca por </a:t>
          </a:r>
          <a:r>
            <a:rPr lang="pt-BR" sz="1400" b="1" i="0" baseline="0">
              <a:solidFill>
                <a:schemeClr val="tx1"/>
              </a:solidFill>
              <a:effectLst/>
              <a:latin typeface="+mn-lt"/>
              <a:ea typeface="+mn-ea"/>
              <a:cs typeface="+mn-cs"/>
            </a:rPr>
            <a:t>jovens</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pluralidade</a:t>
          </a:r>
          <a:r>
            <a:rPr lang="pt-BR" sz="1400" b="0" i="0" baseline="0">
              <a:solidFill>
                <a:schemeClr val="tx1"/>
              </a:solidFill>
              <a:effectLst/>
              <a:latin typeface="+mn-lt"/>
              <a:ea typeface="+mn-ea"/>
              <a:cs typeface="+mn-cs"/>
            </a:rPr>
            <a:t> na questão de nacionalidades e </a:t>
          </a:r>
          <a:r>
            <a:rPr lang="pt-BR" sz="1400" b="1" i="0" baseline="0">
              <a:solidFill>
                <a:schemeClr val="tx1"/>
              </a:solidFill>
              <a:effectLst/>
              <a:latin typeface="+mn-lt"/>
              <a:ea typeface="+mn-ea"/>
              <a:cs typeface="+mn-cs"/>
            </a:rPr>
            <a:t>concentração</a:t>
          </a:r>
          <a:r>
            <a:rPr lang="pt-BR" sz="1400" b="0" i="0" baseline="0">
              <a:solidFill>
                <a:schemeClr val="tx1"/>
              </a:solidFill>
              <a:effectLst/>
              <a:latin typeface="+mn-lt"/>
              <a:ea typeface="+mn-ea"/>
              <a:cs typeface="+mn-cs"/>
            </a:rPr>
            <a:t> das vendas em atacantes.</a:t>
          </a:r>
          <a:endParaRPr lang="pt-BR" sz="1400">
            <a:effectLst/>
          </a:endParaRP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795083"/>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7950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5ª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quinta análise foi construída de uma forma semelhante à terceira e diferente da segunda que, em teoria, seria sua contraparte. A pergunta de negócio relacionada a ela consistia em: </a:t>
          </a:r>
          <a:r>
            <a:rPr lang="pt-BR" sz="1200" b="0" i="1" baseline="0">
              <a:solidFill>
                <a:schemeClr val="tx1"/>
              </a:solidFill>
              <a:effectLst/>
              <a:latin typeface="+mn-lt"/>
              <a:ea typeface="+mn-ea"/>
              <a:cs typeface="+mn-cs"/>
            </a:rPr>
            <a:t>"Quais posições geraram maior retorno financeiro ao clube?"</a:t>
          </a:r>
          <a:r>
            <a:rPr lang="pt-BR" sz="1200" b="0" i="0" baseline="0">
              <a:solidFill>
                <a:schemeClr val="tx1"/>
              </a:solidFill>
              <a:effectLst/>
              <a:latin typeface="+mn-lt"/>
              <a:ea typeface="+mn-ea"/>
              <a:cs typeface="+mn-cs"/>
            </a:rPr>
            <a:t>. Pensando nisso, realizei uma tabela dinâmica com a variável </a:t>
          </a:r>
          <a:r>
            <a:rPr lang="pt-BR" sz="1200" b="1" i="0" baseline="0">
              <a:solidFill>
                <a:schemeClr val="tx1"/>
              </a:solidFill>
              <a:effectLst/>
              <a:latin typeface="+mn-lt"/>
              <a:ea typeface="+mn-ea"/>
              <a:cs typeface="+mn-cs"/>
            </a:rPr>
            <a:t>posição</a:t>
          </a:r>
          <a:r>
            <a:rPr lang="pt-BR" sz="1200" b="0" i="0" baseline="0">
              <a:solidFill>
                <a:schemeClr val="tx1"/>
              </a:solidFill>
              <a:effectLst/>
              <a:latin typeface="+mn-lt"/>
              <a:ea typeface="+mn-ea"/>
              <a:cs typeface="+mn-cs"/>
            </a:rPr>
            <a:t> enquanto a filtrava pelo valor </a:t>
          </a:r>
          <a:r>
            <a:rPr lang="pt-BR" sz="1200" b="1" i="0" baseline="0">
              <a:solidFill>
                <a:schemeClr val="tx1"/>
              </a:solidFill>
              <a:effectLst/>
              <a:latin typeface="+mn-lt"/>
              <a:ea typeface="+mn-ea"/>
              <a:cs typeface="+mn-cs"/>
            </a:rPr>
            <a:t>Saída</a:t>
          </a:r>
          <a:r>
            <a:rPr lang="pt-BR" sz="1200" b="0" i="0" baseline="0">
              <a:solidFill>
                <a:schemeClr val="tx1"/>
              </a:solidFill>
              <a:effectLst/>
              <a:latin typeface="+mn-lt"/>
              <a:ea typeface="+mn-ea"/>
              <a:cs typeface="+mn-cs"/>
            </a:rPr>
            <a:t> da coluna </a:t>
          </a:r>
          <a:r>
            <a:rPr lang="pt-BR" sz="1200" b="1" i="0" baseline="0">
              <a:solidFill>
                <a:schemeClr val="tx1"/>
              </a:solidFill>
              <a:effectLst/>
              <a:latin typeface="+mn-lt"/>
              <a:ea typeface="+mn-ea"/>
              <a:cs typeface="+mn-cs"/>
            </a:rPr>
            <a:t>tipo_movimentação</a:t>
          </a:r>
          <a:r>
            <a:rPr lang="pt-BR" sz="1200" b="0" i="0" baseline="0">
              <a:solidFill>
                <a:schemeClr val="tx1"/>
              </a:solidFill>
              <a:effectLst/>
              <a:latin typeface="+mn-lt"/>
              <a:ea typeface="+mn-ea"/>
              <a:cs typeface="+mn-cs"/>
            </a:rPr>
            <a:t>. Ao invés de apenas incluir essas duas variáveis, decidi adicionar a coluna </a:t>
          </a:r>
          <a:r>
            <a:rPr lang="pt-BR" sz="1200" b="1" i="0" baseline="0">
              <a:solidFill>
                <a:schemeClr val="tx1"/>
              </a:solidFill>
              <a:effectLst/>
              <a:latin typeface="+mn-lt"/>
              <a:ea typeface="+mn-ea"/>
              <a:cs typeface="+mn-cs"/>
            </a:rPr>
            <a:t>jogador</a:t>
          </a:r>
          <a:r>
            <a:rPr lang="pt-BR" sz="1200" b="0" i="0" baseline="0">
              <a:solidFill>
                <a:schemeClr val="tx1"/>
              </a:solidFill>
              <a:effectLst/>
              <a:latin typeface="+mn-lt"/>
              <a:ea typeface="+mn-ea"/>
              <a:cs typeface="+mn-cs"/>
            </a:rPr>
            <a:t> na tabela para que a análise se tornasse algo mais rico. Além de evidenciar quais posições, de fato, geraram maior retorno financeiro ao Tottenham Hotspur, também foram incluídos quais jogadores contribuiram para este processo.</a:t>
          </a:r>
        </a:p>
        <a:p>
          <a:pPr algn="l"/>
          <a:endParaRPr lang="pt-BR" sz="1200" b="0" i="0" baseline="0">
            <a:solidFill>
              <a:schemeClr val="tx1"/>
            </a:solidFill>
            <a:effectLst/>
            <a:latin typeface="+mn-lt"/>
            <a:ea typeface="+mn-ea"/>
            <a:cs typeface="+mn-cs"/>
          </a:endParaRPr>
        </a:p>
        <a:p>
          <a:pPr algn="l"/>
          <a:r>
            <a:rPr lang="pt-BR" sz="1200" b="0" i="0" baseline="0">
              <a:solidFill>
                <a:schemeClr val="tx1"/>
              </a:solidFill>
              <a:effectLst/>
              <a:latin typeface="+mn-lt"/>
              <a:ea typeface="+mn-ea"/>
              <a:cs typeface="+mn-cs"/>
            </a:rPr>
            <a:t>Essa decisão foi algo que enriqueceu o conteúdo da análise, visto que, em decorrência dela, percebemos que mais da metade desse retorno financeiro concentrou-se em apenas um jogador — no caso, </a:t>
          </a:r>
          <a:r>
            <a:rPr lang="pt-BR" sz="1200" b="1" i="0" baseline="0">
              <a:solidFill>
                <a:schemeClr val="tx1"/>
              </a:solidFill>
              <a:effectLst/>
              <a:latin typeface="+mn-lt"/>
              <a:ea typeface="+mn-ea"/>
              <a:cs typeface="+mn-cs"/>
            </a:rPr>
            <a:t>Harry Kane</a:t>
          </a:r>
          <a:r>
            <a:rPr lang="pt-BR" sz="1200" b="0" i="0" baseline="0">
              <a:solidFill>
                <a:schemeClr val="tx1"/>
              </a:solidFill>
              <a:effectLst/>
              <a:latin typeface="+mn-lt"/>
              <a:ea typeface="+mn-ea"/>
              <a:cs typeface="+mn-cs"/>
            </a:rPr>
            <a:t>.</a:t>
          </a:r>
          <a:endParaRPr lang="pt-BR" sz="1200" b="1" baseline="0">
            <a:solidFill>
              <a:schemeClr val="tx1"/>
            </a:solidFill>
            <a:effectLst/>
            <a:latin typeface="+mn-lt"/>
            <a:ea typeface="+mn-ea"/>
            <a:cs typeface="+mn-cs"/>
          </a:endParaRPr>
        </a:p>
        <a:p>
          <a:pPr algn="l"/>
          <a:endParaRPr lang="pt-BR" sz="1200"/>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6ª análise: </a:t>
          </a:r>
          <a:r>
            <a:rPr lang="pt-BR" sz="1200" b="0">
              <a:solidFill>
                <a:schemeClr val="tx1"/>
              </a:solidFill>
              <a:effectLst/>
              <a:latin typeface="+mn-lt"/>
              <a:ea typeface="+mn-ea"/>
              <a:cs typeface="+mn-cs"/>
            </a:rPr>
            <a:t>A sexta análise</a:t>
          </a:r>
          <a:r>
            <a:rPr lang="pt-BR" sz="1200" b="0" baseline="0">
              <a:solidFill>
                <a:schemeClr val="tx1"/>
              </a:solidFill>
              <a:effectLst/>
              <a:latin typeface="+mn-lt"/>
              <a:ea typeface="+mn-ea"/>
              <a:cs typeface="+mn-cs"/>
            </a:rPr>
            <a:t> consistiu, basicamente, em identificar quais foram as principais características que estiveram presentes durante o período analisado, sem a presença de qualquer tabela dinâmica ou gráfico. Este processo ocorreu por meio do resumo de todas as análises anteriores e como elas se conectavam umas com as outras. No final, foi possível concluir aspectos importantes sobre o comportamento do Tottenham Hotspur.</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0</xdr:col>
      <xdr:colOff>177840</xdr:colOff>
      <xdr:row>82</xdr:row>
      <xdr:rowOff>123825</xdr:rowOff>
    </xdr:from>
    <xdr:ext cx="2086598"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177840" y="15744825"/>
          <a:ext cx="2086598"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Auxílio para Gráficos:</a:t>
          </a:r>
        </a:p>
      </xdr:txBody>
    </xdr:sp>
    <xdr:clientData/>
  </xdr:oneCellAnchor>
  <xdr:oneCellAnchor>
    <xdr:from>
      <xdr:col>0</xdr:col>
      <xdr:colOff>190500</xdr:colOff>
      <xdr:row>84</xdr:row>
      <xdr:rowOff>95250</xdr:rowOff>
    </xdr:from>
    <xdr:ext cx="12148329" cy="280205"/>
    <xdr:sp macro="" textlink="">
      <xdr:nvSpPr>
        <xdr:cNvPr id="9" name="CaixaDeTexto 8">
          <a:extLst>
            <a:ext uri="{FF2B5EF4-FFF2-40B4-BE49-F238E27FC236}">
              <a16:creationId xmlns:a16="http://schemas.microsoft.com/office/drawing/2014/main" id="{65745CC7-F6D1-4837-864A-3EBFD68BB3F5}"/>
            </a:ext>
          </a:extLst>
        </xdr:cNvPr>
        <xdr:cNvSpPr txBox="1"/>
      </xdr:nvSpPr>
      <xdr:spPr>
        <a:xfrm>
          <a:off x="190500" y="16097250"/>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Essa</a:t>
          </a:r>
          <a:r>
            <a:rPr lang="pt-BR" sz="1200" baseline="0"/>
            <a:t> seção foi criada com o objetivo de auxiliar a criação dos gráficos presentes na aba anterior através da inserção de tabelas.</a:t>
          </a:r>
          <a:endParaRPr lang="pt-BR" sz="120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17">
      <pivotArea collapsedLevelsAreSubtotals="1" fieldPosition="0">
        <references count="1">
          <reference field="3" count="1">
            <x v="0"/>
          </reference>
        </references>
      </pivotArea>
    </format>
    <format dxfId="16">
      <pivotArea collapsedLevelsAreSubtotals="1" fieldPosition="0">
        <references count="2">
          <reference field="2" count="2">
            <x v="6"/>
            <x v="16"/>
          </reference>
          <reference field="3" count="1" selected="0">
            <x v="0"/>
          </reference>
        </references>
      </pivotArea>
    </format>
    <format dxfId="15">
      <pivotArea collapsedLevelsAreSubtotals="1" fieldPosition="0">
        <references count="1">
          <reference field="3" count="1">
            <x v="1"/>
          </reference>
        </references>
      </pivotArea>
    </format>
    <format dxfId="14">
      <pivotArea collapsedLevelsAreSubtotals="1" fieldPosition="0">
        <references count="2">
          <reference field="2" count="2">
            <x v="9"/>
            <x v="18"/>
          </reference>
          <reference field="3" count="1" selected="0">
            <x v="1"/>
          </reference>
        </references>
      </pivotArea>
    </format>
    <format dxfId="13">
      <pivotArea collapsedLevelsAreSubtotals="1" fieldPosition="0">
        <references count="1">
          <reference field="3" count="1">
            <x v="2"/>
          </reference>
        </references>
      </pivotArea>
    </format>
    <format dxfId="12">
      <pivotArea collapsedLevelsAreSubtotals="1" fieldPosition="0">
        <references count="2">
          <reference field="2" count="2">
            <x v="2"/>
            <x v="12"/>
          </reference>
          <reference field="3" count="1" selected="0">
            <x v="2"/>
          </reference>
        </references>
      </pivotArea>
    </format>
    <format dxfId="11">
      <pivotArea type="origin" dataOnly="0" labelOnly="1" outline="0" fieldPosition="0"/>
    </format>
    <format dxfId="10">
      <pivotArea field="1" type="button" dataOnly="0" labelOnly="1" outline="0" axis="axisCol" fieldPosition="0"/>
    </format>
    <format dxfId="9">
      <pivotArea field="-2" type="button" dataOnly="0" labelOnly="1" outline="0" axis="axisCol" fieldPosition="1"/>
    </format>
    <format dxfId="8">
      <pivotArea field="3" type="button" dataOnly="0" labelOnly="1" outline="0" axis="axisRow" fieldPosition="0"/>
    </format>
    <format dxfId="7">
      <pivotArea dataOnly="0" labelOnly="1" fieldPosition="0">
        <references count="1">
          <reference field="3" count="0"/>
        </references>
      </pivotArea>
    </format>
    <format dxfId="6">
      <pivotArea dataOnly="0" labelOnly="1" fieldPosition="0">
        <references count="2">
          <reference field="2" count="2">
            <x v="6"/>
            <x v="16"/>
          </reference>
          <reference field="3" count="1" selected="0">
            <x v="0"/>
          </reference>
        </references>
      </pivotArea>
    </format>
    <format dxfId="5">
      <pivotArea dataOnly="0" labelOnly="1" fieldPosition="0">
        <references count="2">
          <reference field="2" count="2">
            <x v="9"/>
            <x v="18"/>
          </reference>
          <reference field="3" count="1" selected="0">
            <x v="1"/>
          </reference>
        </references>
      </pivotArea>
    </format>
    <format dxfId="4">
      <pivotArea dataOnly="0" labelOnly="1" fieldPosition="0">
        <references count="2">
          <reference field="2" count="2">
            <x v="2"/>
            <x v="12"/>
          </reference>
          <reference field="3" count="1" selected="0">
            <x v="2"/>
          </reference>
        </references>
      </pivotArea>
    </format>
    <format dxfId="3">
      <pivotArea dataOnly="0" labelOnly="1" fieldPosition="0">
        <references count="1">
          <reference field="1" count="0"/>
        </references>
      </pivotArea>
    </format>
    <format dxfId="2">
      <pivotArea dataOnly="0" labelOnly="1" outline="0" fieldPosition="0">
        <references count="2">
          <reference field="4294967294" count="2">
            <x v="0"/>
            <x v="1"/>
          </reference>
          <reference field="1" count="0" selected="0"/>
        </references>
      </pivotArea>
    </format>
    <format dxfId="1">
      <pivotArea grandRow="1" outline="0" collapsedLevelsAreSubtotals="1" fieldPosition="0"/>
    </format>
    <format dxfId="0">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63">
      <pivotArea type="all" dataOnly="0" outline="0" fieldPosition="0"/>
    </format>
    <format dxfId="62">
      <pivotArea outline="0" collapsedLevelsAreSubtotals="1" fieldPosition="0"/>
    </format>
    <format dxfId="61">
      <pivotArea type="origin" dataOnly="0" labelOnly="1" outline="0" fieldPosition="0"/>
    </format>
    <format dxfId="60">
      <pivotArea field="0" type="button" dataOnly="0" labelOnly="1" outline="0" axis="axisCol" fieldPosition="0"/>
    </format>
    <format dxfId="59">
      <pivotArea field="4" type="button" dataOnly="0" labelOnly="1" outline="0" axis="axisRow" fieldPosition="0"/>
    </format>
    <format dxfId="58">
      <pivotArea dataOnly="0" labelOnly="1" fieldPosition="0">
        <references count="1">
          <reference field="4" count="15">
            <x v="2"/>
            <x v="5"/>
            <x v="6"/>
            <x v="7"/>
            <x v="8"/>
            <x v="9"/>
            <x v="10"/>
            <x v="11"/>
            <x v="12"/>
            <x v="13"/>
            <x v="15"/>
            <x v="16"/>
            <x v="17"/>
            <x v="18"/>
            <x v="19"/>
          </reference>
        </references>
      </pivotArea>
    </format>
    <format dxfId="57">
      <pivotArea dataOnly="0" labelOnly="1" grandRow="1" outline="0" fieldPosition="0"/>
    </format>
    <format dxfId="56">
      <pivotArea dataOnly="0" labelOnly="1" fieldPosition="0">
        <references count="2">
          <reference field="3" count="1">
            <x v="0"/>
          </reference>
          <reference field="4" count="1" selected="0">
            <x v="2"/>
          </reference>
        </references>
      </pivotArea>
    </format>
    <format dxfId="55">
      <pivotArea dataOnly="0" labelOnly="1" fieldPosition="0">
        <references count="2">
          <reference field="3" count="1">
            <x v="8"/>
          </reference>
          <reference field="4" count="1" selected="0">
            <x v="5"/>
          </reference>
        </references>
      </pivotArea>
    </format>
    <format dxfId="54">
      <pivotArea dataOnly="0" labelOnly="1" fieldPosition="0">
        <references count="2">
          <reference field="3" count="1">
            <x v="10"/>
          </reference>
          <reference field="4" count="1" selected="0">
            <x v="6"/>
          </reference>
        </references>
      </pivotArea>
    </format>
    <format dxfId="53">
      <pivotArea dataOnly="0" labelOnly="1" fieldPosition="0">
        <references count="2">
          <reference field="3" count="1">
            <x v="2"/>
          </reference>
          <reference field="4" count="1" selected="0">
            <x v="7"/>
          </reference>
        </references>
      </pivotArea>
    </format>
    <format dxfId="52">
      <pivotArea dataOnly="0" labelOnly="1" fieldPosition="0">
        <references count="2">
          <reference field="3" count="1">
            <x v="3"/>
          </reference>
          <reference field="4" count="1" selected="0">
            <x v="8"/>
          </reference>
        </references>
      </pivotArea>
    </format>
    <format dxfId="51">
      <pivotArea dataOnly="0" labelOnly="1" fieldPosition="0">
        <references count="2">
          <reference field="3" count="2">
            <x v="12"/>
            <x v="13"/>
          </reference>
          <reference field="4" count="1" selected="0">
            <x v="9"/>
          </reference>
        </references>
      </pivotArea>
    </format>
    <format dxfId="50">
      <pivotArea dataOnly="0" labelOnly="1" fieldPosition="0">
        <references count="2">
          <reference field="3" count="1">
            <x v="8"/>
          </reference>
          <reference field="4" count="1" selected="0">
            <x v="10"/>
          </reference>
        </references>
      </pivotArea>
    </format>
    <format dxfId="49">
      <pivotArea dataOnly="0" labelOnly="1" fieldPosition="0">
        <references count="2">
          <reference field="3" count="1">
            <x v="8"/>
          </reference>
          <reference field="4" count="1" selected="0">
            <x v="11"/>
          </reference>
        </references>
      </pivotArea>
    </format>
    <format dxfId="48">
      <pivotArea dataOnly="0" labelOnly="1" fieldPosition="0">
        <references count="2">
          <reference field="3" count="1">
            <x v="6"/>
          </reference>
          <reference field="4" count="1" selected="0">
            <x v="12"/>
          </reference>
        </references>
      </pivotArea>
    </format>
    <format dxfId="47">
      <pivotArea dataOnly="0" labelOnly="1" fieldPosition="0">
        <references count="2">
          <reference field="3" count="1">
            <x v="11"/>
          </reference>
          <reference field="4" count="1" selected="0">
            <x v="13"/>
          </reference>
        </references>
      </pivotArea>
    </format>
    <format dxfId="46">
      <pivotArea dataOnly="0" labelOnly="1" fieldPosition="0">
        <references count="2">
          <reference field="3" count="1">
            <x v="7"/>
          </reference>
          <reference field="4" count="1" selected="0">
            <x v="15"/>
          </reference>
        </references>
      </pivotArea>
    </format>
    <format dxfId="45">
      <pivotArea dataOnly="0" labelOnly="1" fieldPosition="0">
        <references count="2">
          <reference field="3" count="1">
            <x v="5"/>
          </reference>
          <reference field="4" count="1" selected="0">
            <x v="16"/>
          </reference>
        </references>
      </pivotArea>
    </format>
    <format dxfId="44">
      <pivotArea dataOnly="0" labelOnly="1" fieldPosition="0">
        <references count="2">
          <reference field="3" count="1">
            <x v="4"/>
          </reference>
          <reference field="4" count="1" selected="0">
            <x v="17"/>
          </reference>
        </references>
      </pivotArea>
    </format>
    <format dxfId="43">
      <pivotArea dataOnly="0" labelOnly="1" fieldPosition="0">
        <references count="2">
          <reference field="3" count="1">
            <x v="7"/>
          </reference>
          <reference field="4" count="1" selected="0">
            <x v="18"/>
          </reference>
        </references>
      </pivotArea>
    </format>
    <format dxfId="42">
      <pivotArea dataOnly="0" labelOnly="1" fieldPosition="0">
        <references count="2">
          <reference field="3" count="1">
            <x v="9"/>
          </reference>
          <reference field="4" count="1" selected="0">
            <x v="19"/>
          </reference>
        </references>
      </pivotArea>
    </format>
    <format dxfId="41">
      <pivotArea dataOnly="0" labelOnly="1" fieldPosition="0">
        <references count="1">
          <reference field="0" count="0"/>
        </references>
      </pivotArea>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0" type="button" dataOnly="0" labelOnly="1" outline="0" axis="axisCol" fieldPosition="0"/>
    </format>
    <format dxfId="36">
      <pivotArea field="4" type="button" dataOnly="0" labelOnly="1" outline="0" axis="axisRow" fieldPosition="0"/>
    </format>
    <format dxfId="35">
      <pivotArea dataOnly="0" labelOnly="1" fieldPosition="0">
        <references count="1">
          <reference field="4" count="15">
            <x v="2"/>
            <x v="5"/>
            <x v="6"/>
            <x v="7"/>
            <x v="8"/>
            <x v="9"/>
            <x v="10"/>
            <x v="11"/>
            <x v="12"/>
            <x v="13"/>
            <x v="15"/>
            <x v="16"/>
            <x v="17"/>
            <x v="18"/>
            <x v="19"/>
          </reference>
        </references>
      </pivotArea>
    </format>
    <format dxfId="34">
      <pivotArea dataOnly="0" labelOnly="1" grandRow="1" outline="0" fieldPosition="0"/>
    </format>
    <format dxfId="33">
      <pivotArea dataOnly="0" labelOnly="1" fieldPosition="0">
        <references count="2">
          <reference field="3" count="1">
            <x v="0"/>
          </reference>
          <reference field="4" count="1" selected="0">
            <x v="2"/>
          </reference>
        </references>
      </pivotArea>
    </format>
    <format dxfId="32">
      <pivotArea dataOnly="0" labelOnly="1" fieldPosition="0">
        <references count="2">
          <reference field="3" count="1">
            <x v="8"/>
          </reference>
          <reference field="4" count="1" selected="0">
            <x v="5"/>
          </reference>
        </references>
      </pivotArea>
    </format>
    <format dxfId="31">
      <pivotArea dataOnly="0" labelOnly="1" fieldPosition="0">
        <references count="2">
          <reference field="3" count="1">
            <x v="10"/>
          </reference>
          <reference field="4" count="1" selected="0">
            <x v="6"/>
          </reference>
        </references>
      </pivotArea>
    </format>
    <format dxfId="30">
      <pivotArea dataOnly="0" labelOnly="1" fieldPosition="0">
        <references count="2">
          <reference field="3" count="1">
            <x v="2"/>
          </reference>
          <reference field="4" count="1" selected="0">
            <x v="7"/>
          </reference>
        </references>
      </pivotArea>
    </format>
    <format dxfId="29">
      <pivotArea dataOnly="0" labelOnly="1" fieldPosition="0">
        <references count="2">
          <reference field="3" count="1">
            <x v="3"/>
          </reference>
          <reference field="4" count="1" selected="0">
            <x v="8"/>
          </reference>
        </references>
      </pivotArea>
    </format>
    <format dxfId="28">
      <pivotArea dataOnly="0" labelOnly="1" fieldPosition="0">
        <references count="2">
          <reference field="3" count="2">
            <x v="12"/>
            <x v="13"/>
          </reference>
          <reference field="4" count="1" selected="0">
            <x v="9"/>
          </reference>
        </references>
      </pivotArea>
    </format>
    <format dxfId="27">
      <pivotArea dataOnly="0" labelOnly="1" fieldPosition="0">
        <references count="2">
          <reference field="3" count="1">
            <x v="8"/>
          </reference>
          <reference field="4" count="1" selected="0">
            <x v="10"/>
          </reference>
        </references>
      </pivotArea>
    </format>
    <format dxfId="26">
      <pivotArea dataOnly="0" labelOnly="1" fieldPosition="0">
        <references count="2">
          <reference field="3" count="1">
            <x v="8"/>
          </reference>
          <reference field="4" count="1" selected="0">
            <x v="11"/>
          </reference>
        </references>
      </pivotArea>
    </format>
    <format dxfId="25">
      <pivotArea dataOnly="0" labelOnly="1" fieldPosition="0">
        <references count="2">
          <reference field="3" count="1">
            <x v="6"/>
          </reference>
          <reference field="4" count="1" selected="0">
            <x v="12"/>
          </reference>
        </references>
      </pivotArea>
    </format>
    <format dxfId="24">
      <pivotArea dataOnly="0" labelOnly="1" fieldPosition="0">
        <references count="2">
          <reference field="3" count="1">
            <x v="11"/>
          </reference>
          <reference field="4" count="1" selected="0">
            <x v="13"/>
          </reference>
        </references>
      </pivotArea>
    </format>
    <format dxfId="23">
      <pivotArea dataOnly="0" labelOnly="1" fieldPosition="0">
        <references count="2">
          <reference field="3" count="1">
            <x v="7"/>
          </reference>
          <reference field="4" count="1" selected="0">
            <x v="15"/>
          </reference>
        </references>
      </pivotArea>
    </format>
    <format dxfId="22">
      <pivotArea dataOnly="0" labelOnly="1" fieldPosition="0">
        <references count="2">
          <reference field="3" count="1">
            <x v="5"/>
          </reference>
          <reference field="4" count="1" selected="0">
            <x v="16"/>
          </reference>
        </references>
      </pivotArea>
    </format>
    <format dxfId="21">
      <pivotArea dataOnly="0" labelOnly="1" fieldPosition="0">
        <references count="2">
          <reference field="3" count="1">
            <x v="4"/>
          </reference>
          <reference field="4" count="1" selected="0">
            <x v="17"/>
          </reference>
        </references>
      </pivotArea>
    </format>
    <format dxfId="20">
      <pivotArea dataOnly="0" labelOnly="1" fieldPosition="0">
        <references count="2">
          <reference field="3" count="1">
            <x v="7"/>
          </reference>
          <reference field="4" count="1" selected="0">
            <x v="18"/>
          </reference>
        </references>
      </pivotArea>
    </format>
    <format dxfId="19">
      <pivotArea dataOnly="0" labelOnly="1" fieldPosition="0">
        <references count="2">
          <reference field="3" count="1">
            <x v="9"/>
          </reference>
          <reference field="4" count="1" selected="0">
            <x v="19"/>
          </reference>
        </references>
      </pivotArea>
    </format>
    <format dxfId="18">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72">
      <pivotArea collapsedLevelsAreSubtotals="1" fieldPosition="0">
        <references count="1">
          <reference field="8" count="0"/>
        </references>
      </pivotArea>
    </format>
    <format dxfId="71">
      <pivotArea field="8" type="button" dataOnly="0" labelOnly="1" outline="0" axis="axisRow" fieldPosition="0"/>
    </format>
    <format dxfId="70">
      <pivotArea dataOnly="0" labelOnly="1" fieldPosition="0">
        <references count="1">
          <reference field="8" count="0"/>
        </references>
      </pivotArea>
    </format>
    <format dxfId="69">
      <pivotArea dataOnly="0" labelOnly="1" outline="0" axis="axisValues" fieldPosition="0"/>
    </format>
    <format dxfId="68">
      <pivotArea grandRow="1" outline="0" collapsedLevelsAreSubtotals="1" fieldPosition="0"/>
    </format>
    <format dxfId="67">
      <pivotArea dataOnly="0" labelOnly="1" grandRow="1" outline="0" fieldPosition="0"/>
    </format>
    <format dxfId="66">
      <pivotArea dataOnly="0" labelOnly="1" fieldPosition="0">
        <references count="1">
          <reference field="1" count="0"/>
        </references>
      </pivotArea>
    </format>
    <format dxfId="65">
      <pivotArea field="1" type="button" dataOnly="0" labelOnly="1" outline="0" axis="axisCol" fieldPosition="0"/>
    </format>
    <format dxfId="64">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79">
      <pivotArea collapsedLevelsAreSubtotals="1" fieldPosition="0">
        <references count="1">
          <reference field="3" count="0"/>
        </references>
      </pivotArea>
    </format>
    <format dxfId="78">
      <pivotArea field="3" type="button" dataOnly="0" labelOnly="1" outline="0" axis="axisRow" fieldPosition="0"/>
    </format>
    <format dxfId="77">
      <pivotArea dataOnly="0" labelOnly="1" fieldPosition="0">
        <references count="1">
          <reference field="3" count="0"/>
        </references>
      </pivotArea>
    </format>
    <format dxfId="76">
      <pivotArea dataOnly="0" labelOnly="1" outline="0" axis="axisValues" fieldPosition="0"/>
    </format>
    <format dxfId="75">
      <pivotArea grandRow="1" outline="0" collapsedLevelsAreSubtotals="1" fieldPosition="0"/>
    </format>
    <format dxfId="74">
      <pivotArea dataOnly="0" labelOnly="1" fieldPosition="0">
        <references count="1">
          <reference field="0" count="0"/>
        </references>
      </pivotArea>
    </format>
    <format dxfId="73">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88">
      <pivotArea type="all" dataOnly="0" outline="0" fieldPosition="0"/>
    </format>
    <format dxfId="87">
      <pivotArea outline="0" collapsedLevelsAreSubtotals="1" fieldPosition="0"/>
    </format>
    <format dxfId="86">
      <pivotArea type="origin" dataOnly="0" labelOnly="1" outline="0" fieldPosition="0"/>
    </format>
    <format dxfId="85">
      <pivotArea field="1" type="button" dataOnly="0" labelOnly="1" outline="0" axis="axisCol" fieldPosition="0"/>
    </format>
    <format dxfId="84">
      <pivotArea type="topRight" dataOnly="0" labelOnly="1" outline="0" fieldPosition="0"/>
    </format>
    <format dxfId="83">
      <pivotArea field="3" type="button" dataOnly="0" labelOnly="1" outline="0" axis="axisRow" fieldPosition="0"/>
    </format>
    <format dxfId="82">
      <pivotArea dataOnly="0" labelOnly="1" fieldPosition="0">
        <references count="1">
          <reference field="3" count="0"/>
        </references>
      </pivotArea>
    </format>
    <format dxfId="81">
      <pivotArea dataOnly="0" labelOnly="1" fieldPosition="0">
        <references count="1">
          <reference field="1" count="0"/>
        </references>
      </pivotArea>
    </format>
    <format dxfId="80">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94">
      <pivotArea collapsedLevelsAreSubtotals="1" fieldPosition="0">
        <references count="1">
          <reference field="0" count="0"/>
        </references>
      </pivotArea>
    </format>
    <format dxfId="93">
      <pivotArea field="0" type="button" dataOnly="0" labelOnly="1" outline="0" axis="axisRow" fieldPosition="0"/>
    </format>
    <format dxfId="92">
      <pivotArea dataOnly="0" labelOnly="1" fieldPosition="0">
        <references count="1">
          <reference field="0" count="0"/>
        </references>
      </pivotArea>
    </format>
    <format dxfId="91">
      <pivotArea dataOnly="0" labelOnly="1" fieldPosition="0">
        <references count="1">
          <reference field="1" count="0"/>
        </references>
      </pivotArea>
    </format>
    <format dxfId="90">
      <pivotArea dataOnly="0" labelOnly="1" grandCol="1" outline="0" fieldPosition="0"/>
    </format>
    <format dxfId="89">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83" zoomScaleNormal="100" workbookViewId="0">
      <selection activeCell="J59" sqref="J59"/>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filterMode="1">
    <tabColor theme="6" tint="0.39997558519241921"/>
  </sheetPr>
  <dimension ref="A1:J24"/>
  <sheetViews>
    <sheetView zoomScaleNormal="100" workbookViewId="0">
      <selection activeCell="G30" sqref="G30"/>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hidden="1"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hidden="1"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hidden="1" x14ac:dyDescent="0.25">
      <c r="A6" s="2" t="s">
        <v>34</v>
      </c>
      <c r="B6" s="2" t="s">
        <v>18</v>
      </c>
      <c r="C6" s="2" t="s">
        <v>149</v>
      </c>
      <c r="D6" s="2" t="s">
        <v>156</v>
      </c>
      <c r="E6" s="2" t="s">
        <v>30</v>
      </c>
      <c r="F6" s="2" t="s">
        <v>38</v>
      </c>
      <c r="G6" s="6">
        <v>16600000</v>
      </c>
      <c r="H6" s="5">
        <v>25</v>
      </c>
      <c r="I6" s="5" t="str">
        <f t="shared" si="0"/>
        <v>Jovem (21-25 anos)</v>
      </c>
      <c r="J6" s="2" t="s">
        <v>16</v>
      </c>
    </row>
    <row r="7" spans="1:10" hidden="1"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hidden="1"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hidden="1" x14ac:dyDescent="0.25">
      <c r="A10" s="2" t="s">
        <v>55</v>
      </c>
      <c r="B10" s="2" t="s">
        <v>18</v>
      </c>
      <c r="C10" s="2" t="s">
        <v>56</v>
      </c>
      <c r="D10" s="2" t="s">
        <v>70</v>
      </c>
      <c r="E10" s="2" t="s">
        <v>151</v>
      </c>
      <c r="F10" s="2" t="s">
        <v>59</v>
      </c>
      <c r="G10" s="6">
        <v>52000000</v>
      </c>
      <c r="H10" s="5">
        <v>23</v>
      </c>
      <c r="I10" s="5" t="str">
        <f t="shared" si="0"/>
        <v>Jovem (21-25 anos)</v>
      </c>
      <c r="J10" s="2" t="s">
        <v>16</v>
      </c>
    </row>
    <row r="11" spans="1:10" hidden="1"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hidden="1" x14ac:dyDescent="0.25">
      <c r="A13" s="2" t="s">
        <v>55</v>
      </c>
      <c r="B13" s="2" t="s">
        <v>18</v>
      </c>
      <c r="C13" s="2" t="s">
        <v>127</v>
      </c>
      <c r="D13" s="2" t="s">
        <v>156</v>
      </c>
      <c r="E13" s="2" t="s">
        <v>129</v>
      </c>
      <c r="F13" s="2" t="s">
        <v>65</v>
      </c>
      <c r="G13" s="6">
        <v>19000000</v>
      </c>
      <c r="H13" s="5">
        <v>24</v>
      </c>
      <c r="I13" s="5" t="str">
        <f t="shared" si="0"/>
        <v>Jovem (21-25 anos)</v>
      </c>
      <c r="J13" s="2" t="s">
        <v>16</v>
      </c>
    </row>
    <row r="14" spans="1:10" hidden="1" x14ac:dyDescent="0.25">
      <c r="A14" s="2" t="s">
        <v>75</v>
      </c>
      <c r="B14" s="2" t="s">
        <v>18</v>
      </c>
      <c r="C14" s="2" t="s">
        <v>76</v>
      </c>
      <c r="D14" s="2" t="s">
        <v>77</v>
      </c>
      <c r="E14" s="2" t="s">
        <v>78</v>
      </c>
      <c r="F14" s="2" t="s">
        <v>79</v>
      </c>
      <c r="G14" s="6">
        <v>58000000</v>
      </c>
      <c r="H14" s="5">
        <v>25</v>
      </c>
      <c r="I14" s="5" t="str">
        <f t="shared" si="0"/>
        <v>Jovem (21-25 anos)</v>
      </c>
      <c r="J14" s="2" t="s">
        <v>16</v>
      </c>
    </row>
    <row r="15" spans="1:10" hidden="1"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hidden="1" x14ac:dyDescent="0.25">
      <c r="A17" s="2" t="s">
        <v>75</v>
      </c>
      <c r="B17" s="2" t="s">
        <v>18</v>
      </c>
      <c r="C17" s="2" t="s">
        <v>148</v>
      </c>
      <c r="D17" s="2" t="s">
        <v>77</v>
      </c>
      <c r="E17" s="2" t="s">
        <v>124</v>
      </c>
      <c r="F17" s="2" t="s">
        <v>153</v>
      </c>
      <c r="G17" s="6">
        <v>0</v>
      </c>
      <c r="H17" s="5">
        <v>33</v>
      </c>
      <c r="I17" s="5" t="str">
        <f t="shared" si="0"/>
        <v>Veterano (31+ anos)</v>
      </c>
      <c r="J17" s="2" t="s">
        <v>53</v>
      </c>
    </row>
    <row r="18" spans="1:10" hidden="1" x14ac:dyDescent="0.25">
      <c r="A18" s="2" t="s">
        <v>93</v>
      </c>
      <c r="B18" s="2" t="s">
        <v>18</v>
      </c>
      <c r="C18" s="2" t="s">
        <v>95</v>
      </c>
      <c r="D18" s="2" t="s">
        <v>156</v>
      </c>
      <c r="E18" s="2" t="s">
        <v>97</v>
      </c>
      <c r="F18" s="2" t="s">
        <v>98</v>
      </c>
      <c r="G18" s="6">
        <v>46300000</v>
      </c>
      <c r="H18" s="5">
        <v>26</v>
      </c>
      <c r="I18" s="5" t="str">
        <f t="shared" si="0"/>
        <v>Experiente (26-30 anos)</v>
      </c>
      <c r="J18" s="2" t="s">
        <v>16</v>
      </c>
    </row>
    <row r="19" spans="1:10" hidden="1"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hidden="1" x14ac:dyDescent="0.25">
      <c r="A21" s="2" t="s">
        <v>93</v>
      </c>
      <c r="B21" s="2" t="s">
        <v>18</v>
      </c>
      <c r="C21" s="2" t="s">
        <v>136</v>
      </c>
      <c r="D21" s="2" t="s">
        <v>77</v>
      </c>
      <c r="E21" s="2" t="s">
        <v>152</v>
      </c>
      <c r="F21" s="2" t="s">
        <v>139</v>
      </c>
      <c r="G21" s="6">
        <v>47500000</v>
      </c>
      <c r="H21" s="5">
        <v>22</v>
      </c>
      <c r="I21" s="5" t="str">
        <f t="shared" si="0"/>
        <v>Jovem (21-25 anos)</v>
      </c>
      <c r="J21" s="2" t="s">
        <v>16</v>
      </c>
    </row>
    <row r="22" spans="1:10" hidden="1" x14ac:dyDescent="0.25">
      <c r="A22" s="2" t="s">
        <v>109</v>
      </c>
      <c r="B22" s="2" t="s">
        <v>18</v>
      </c>
      <c r="C22" s="2" t="s">
        <v>110</v>
      </c>
      <c r="D22" s="2" t="s">
        <v>77</v>
      </c>
      <c r="E22" s="2" t="s">
        <v>97</v>
      </c>
      <c r="F22" s="2" t="s">
        <v>112</v>
      </c>
      <c r="G22" s="6">
        <v>65000000</v>
      </c>
      <c r="H22" s="5">
        <v>26</v>
      </c>
      <c r="I22" s="5" t="str">
        <f t="shared" si="0"/>
        <v>Experiente (26-30 anos)</v>
      </c>
      <c r="J22" s="2" t="s">
        <v>16</v>
      </c>
    </row>
    <row r="23" spans="1:10" hidden="1"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filterColumn colId="1">
      <filters>
        <filter val="Saída"/>
      </filters>
    </filterColumn>
  </autoFilter>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R47"/>
  <sheetViews>
    <sheetView tabSelected="1" topLeftCell="BI52" zoomScale="77" zoomScaleNormal="77" workbookViewId="0">
      <selection activeCell="BQ45" sqref="BQ45"/>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28515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25.85546875" bestFit="1" customWidth="1"/>
    <col min="65" max="65" width="11.28515625" customWidth="1"/>
    <col min="66" max="66" width="24.140625" bestFit="1" customWidth="1"/>
    <col min="67" max="67" width="11" bestFit="1" customWidth="1"/>
    <col min="68" max="68" width="27.140625" bestFit="1" customWidth="1"/>
    <col min="69" max="69" width="11.85546875" customWidth="1"/>
    <col min="70" max="70" width="22.5703125" bestFit="1" customWidth="1"/>
    <col min="71" max="72" width="18" bestFit="1" customWidth="1"/>
    <col min="73" max="73" width="14.28515625" bestFit="1" customWidth="1"/>
    <col min="74" max="74" width="11" bestFit="1" customWidth="1"/>
  </cols>
  <sheetData>
    <row r="4" spans="1:68" x14ac:dyDescent="0.25">
      <c r="C4" s="7" t="s">
        <v>158</v>
      </c>
      <c r="D4" s="7" t="s">
        <v>159</v>
      </c>
      <c r="E4" s="7" t="s">
        <v>160</v>
      </c>
      <c r="F4" s="7" t="s">
        <v>161</v>
      </c>
      <c r="G4" s="7" t="s">
        <v>162</v>
      </c>
      <c r="H4" s="7" t="s">
        <v>163</v>
      </c>
      <c r="I4" s="7" t="s">
        <v>187</v>
      </c>
    </row>
    <row r="5" spans="1:6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6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6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68" ht="15.75"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c r="BL16" s="22" t="s">
        <v>188</v>
      </c>
      <c r="BN16" s="22" t="s">
        <v>189</v>
      </c>
      <c r="BP16" s="22" t="s">
        <v>190</v>
      </c>
    </row>
    <row r="17" spans="1:70"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c r="BL17" s="23">
        <v>553200000</v>
      </c>
      <c r="BN17" s="23">
        <v>179800000</v>
      </c>
      <c r="BP17" s="6">
        <v>-373400000</v>
      </c>
    </row>
    <row r="18" spans="1:70"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70"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70" ht="15.75"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c r="BL20" s="22" t="s">
        <v>191</v>
      </c>
      <c r="BN20" s="22" t="s">
        <v>192</v>
      </c>
      <c r="BP20" s="22" t="s">
        <v>193</v>
      </c>
    </row>
    <row r="21" spans="1:70"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c r="BL21" s="13">
        <v>0.3866594360086768</v>
      </c>
      <c r="BN21" s="24">
        <v>0.36243673174258856</v>
      </c>
      <c r="BP21" s="24">
        <v>0.25090383224873464</v>
      </c>
    </row>
    <row r="22" spans="1:70"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70" x14ac:dyDescent="0.25">
      <c r="AK23" s="2" t="s">
        <v>30</v>
      </c>
      <c r="AL23" s="2">
        <v>1</v>
      </c>
      <c r="AN23" s="2" t="s">
        <v>78</v>
      </c>
      <c r="AO23" s="2">
        <v>1</v>
      </c>
      <c r="BA23" s="2" t="s">
        <v>70</v>
      </c>
      <c r="BB23" s="6">
        <v>13000000</v>
      </c>
      <c r="BC23" s="13">
        <v>7.2302558398220251E-2</v>
      </c>
    </row>
    <row r="24" spans="1:70" ht="15.75" x14ac:dyDescent="0.25">
      <c r="AK24" s="2" t="s">
        <v>152</v>
      </c>
      <c r="AL24" s="2">
        <v>1</v>
      </c>
      <c r="AN24" s="2" t="s">
        <v>153</v>
      </c>
      <c r="AO24" s="2">
        <v>1</v>
      </c>
      <c r="BA24" s="2" t="s">
        <v>69</v>
      </c>
      <c r="BB24" s="6">
        <v>13000000</v>
      </c>
      <c r="BC24" s="13">
        <v>7.2302558398220251E-2</v>
      </c>
      <c r="BL24" s="22" t="s">
        <v>196</v>
      </c>
      <c r="BN24" s="22" t="s">
        <v>197</v>
      </c>
      <c r="BP24" s="22" t="s">
        <v>198</v>
      </c>
      <c r="BR24" s="25"/>
    </row>
    <row r="25" spans="1:70" x14ac:dyDescent="0.25">
      <c r="AK25" s="2" t="s">
        <v>78</v>
      </c>
      <c r="AL25" s="2">
        <v>1</v>
      </c>
      <c r="AN25" s="2" t="s">
        <v>124</v>
      </c>
      <c r="AO25" s="2">
        <v>1</v>
      </c>
      <c r="BA25" s="2" t="s">
        <v>49</v>
      </c>
      <c r="BB25" s="6">
        <v>0</v>
      </c>
      <c r="BC25" s="13">
        <v>0</v>
      </c>
      <c r="BH25" s="2"/>
      <c r="BI25" s="6"/>
      <c r="BL25" s="16">
        <v>0.6875</v>
      </c>
      <c r="BN25" s="16">
        <v>0.1875</v>
      </c>
      <c r="BP25" s="16">
        <v>6.25E-2</v>
      </c>
    </row>
    <row r="26" spans="1:70" x14ac:dyDescent="0.25">
      <c r="AK26" s="2" t="s">
        <v>64</v>
      </c>
      <c r="AL26" s="2">
        <v>1</v>
      </c>
      <c r="AN26" s="2" t="s">
        <v>65</v>
      </c>
      <c r="AO26" s="2">
        <v>2</v>
      </c>
      <c r="BA26" s="9" t="s">
        <v>164</v>
      </c>
      <c r="BB26" s="6">
        <v>179800000</v>
      </c>
      <c r="BC26" s="13">
        <v>1</v>
      </c>
    </row>
    <row r="27" spans="1:70" x14ac:dyDescent="0.25">
      <c r="AK27" s="2" t="s">
        <v>90</v>
      </c>
      <c r="AL27" s="2">
        <v>2</v>
      </c>
      <c r="AN27" s="2" t="s">
        <v>64</v>
      </c>
      <c r="AO27" s="2">
        <v>1</v>
      </c>
    </row>
    <row r="28" spans="1:70" ht="15.75" x14ac:dyDescent="0.25">
      <c r="AK28" s="2" t="s">
        <v>97</v>
      </c>
      <c r="AL28" s="2">
        <v>3</v>
      </c>
      <c r="AN28" s="2" t="s">
        <v>129</v>
      </c>
      <c r="AO28" s="2">
        <v>1</v>
      </c>
      <c r="BL28" s="26" t="s">
        <v>194</v>
      </c>
      <c r="BM28" s="21"/>
      <c r="BN28" s="26" t="s">
        <v>195</v>
      </c>
      <c r="BO28" s="21"/>
      <c r="BP28" s="26" t="s">
        <v>202</v>
      </c>
    </row>
    <row r="29" spans="1:70" x14ac:dyDescent="0.25">
      <c r="AK29" s="9" t="s">
        <v>164</v>
      </c>
      <c r="AL29" s="2">
        <v>16</v>
      </c>
      <c r="AN29" s="2" t="s">
        <v>117</v>
      </c>
      <c r="AO29" s="2">
        <v>1</v>
      </c>
      <c r="BL29" s="2">
        <v>3</v>
      </c>
      <c r="BM29" s="2"/>
      <c r="BN29" s="2">
        <v>2</v>
      </c>
      <c r="BO29" s="2"/>
      <c r="BP29" s="2">
        <v>13</v>
      </c>
    </row>
    <row r="30" spans="1:70" x14ac:dyDescent="0.25">
      <c r="AN30" s="2" t="s">
        <v>97</v>
      </c>
      <c r="AO30" s="2">
        <v>1</v>
      </c>
    </row>
    <row r="31" spans="1:70" x14ac:dyDescent="0.25">
      <c r="AN31" s="2" t="s">
        <v>98</v>
      </c>
      <c r="AO31" s="2">
        <v>1</v>
      </c>
    </row>
    <row r="32" spans="1:70" ht="15.75" x14ac:dyDescent="0.25">
      <c r="AN32" s="2" t="s">
        <v>97</v>
      </c>
      <c r="AO32" s="2">
        <v>1</v>
      </c>
      <c r="BL32" s="26" t="s">
        <v>200</v>
      </c>
      <c r="BN32" s="26" t="s">
        <v>199</v>
      </c>
      <c r="BP32" s="26" t="s">
        <v>201</v>
      </c>
    </row>
    <row r="33" spans="40:68" x14ac:dyDescent="0.25">
      <c r="AN33" s="2" t="s">
        <v>14</v>
      </c>
      <c r="AO33" s="2">
        <v>1</v>
      </c>
      <c r="BL33" s="13">
        <v>0.70199999999999996</v>
      </c>
      <c r="BN33" s="13">
        <v>0.22500000000000001</v>
      </c>
      <c r="BP33" s="13">
        <v>7.1999999999999995E-2</v>
      </c>
    </row>
    <row r="34" spans="40:68" x14ac:dyDescent="0.25">
      <c r="AN34" s="2" t="s">
        <v>13</v>
      </c>
      <c r="AO34" s="2">
        <v>1</v>
      </c>
    </row>
    <row r="35" spans="40:68" x14ac:dyDescent="0.25">
      <c r="AN35" s="2" t="s">
        <v>139</v>
      </c>
      <c r="AO35" s="2">
        <v>1</v>
      </c>
    </row>
    <row r="36" spans="40:68" x14ac:dyDescent="0.25">
      <c r="AN36" s="2" t="s">
        <v>152</v>
      </c>
      <c r="AO36" s="2">
        <v>1</v>
      </c>
    </row>
    <row r="37" spans="40:68" x14ac:dyDescent="0.25">
      <c r="AN37" s="2" t="s">
        <v>22</v>
      </c>
      <c r="AO37" s="2">
        <v>1</v>
      </c>
    </row>
    <row r="38" spans="40:68" x14ac:dyDescent="0.25">
      <c r="AN38" s="2" t="s">
        <v>90</v>
      </c>
      <c r="AO38" s="2">
        <v>1</v>
      </c>
    </row>
    <row r="39" spans="40:68" x14ac:dyDescent="0.25">
      <c r="AN39" s="2" t="s">
        <v>45</v>
      </c>
      <c r="AO39" s="2">
        <v>1</v>
      </c>
    </row>
    <row r="40" spans="40:68" x14ac:dyDescent="0.25">
      <c r="AN40" s="2" t="s">
        <v>44</v>
      </c>
      <c r="AO40" s="2">
        <v>1</v>
      </c>
    </row>
    <row r="41" spans="40:68" x14ac:dyDescent="0.25">
      <c r="AN41" s="2" t="s">
        <v>38</v>
      </c>
      <c r="AO41" s="2">
        <v>1</v>
      </c>
    </row>
    <row r="42" spans="40:68" x14ac:dyDescent="0.25">
      <c r="AN42" s="2" t="s">
        <v>30</v>
      </c>
      <c r="AO42" s="2">
        <v>1</v>
      </c>
    </row>
    <row r="43" spans="40:68" x14ac:dyDescent="0.25">
      <c r="AN43" s="2" t="s">
        <v>102</v>
      </c>
      <c r="AO43" s="2">
        <v>1</v>
      </c>
    </row>
    <row r="44" spans="40:68" x14ac:dyDescent="0.25">
      <c r="AN44" s="2" t="s">
        <v>90</v>
      </c>
      <c r="AO44" s="2">
        <v>1</v>
      </c>
    </row>
    <row r="45" spans="40:68" x14ac:dyDescent="0.25">
      <c r="AN45" s="2" t="s">
        <v>134</v>
      </c>
      <c r="AO45" s="2">
        <v>1</v>
      </c>
    </row>
    <row r="46" spans="40:68" x14ac:dyDescent="0.25">
      <c r="AN46" s="2" t="s">
        <v>132</v>
      </c>
      <c r="AO46" s="2">
        <v>1</v>
      </c>
    </row>
    <row r="47" spans="40:68"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opLeftCell="A8" workbookViewId="0">
      <selection activeCell="I89" sqref="I89"/>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2026-07-24T21:49:15Z</dcterms:modified>
</cp:coreProperties>
</file>