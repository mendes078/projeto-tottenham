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08D515FF-8892-4E15-9813-41109F1A6D23}"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Tratados'!$A$2:$I$24</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6" i="6" l="1"/>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<sst xmlns="http://schemas.openxmlformats.org/spreadsheetml/2006/main" count="416" uniqueCount="173">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</sst>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4" x14ac:knownFonts="1">
    <font>
      <sz val="11"/>
      <color theme="1"/>
      <name val="Calibri"/>
      <family val="2"/>
      <scheme val="minor"/>
    </font>
    <font>
      <b/>
      <sz val="11"/>
      <name val="Calibri"/>
    </font>
    <font>
      <b/>
      <sz val="11"/>
      <name val="Calibri"/>
      <family val="2"/>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cellXfs>
  <cellStyles count="1">
    <cellStyle name="Normal" xfId="0" builtinId="0"/>
  </cellStyles>
  <dxfs count="1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81.843427199077" createdVersion="8" refreshedVersion="8" minRefreshableVersion="3" recordCount="22" xr:uid="{11AE0983-117D-40C8-AD52-16F3B61A0005}">
  <cacheSource type="worksheet">
    <worksheetSource ref="A2:I24" sheet="Dados Tratados"/>
  </cacheSource>
  <cacheFields count="9">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n v="22"/>
    <s v="Compra"/>
  </r>
  <r>
    <x v="0"/>
    <x v="0"/>
    <s v="Steven Bergwijn"/>
    <x v="1"/>
    <s v="Holanda"/>
    <s v="PSV Eindhoven"/>
    <n v="30000000"/>
    <n v="22"/>
    <s v="Compra"/>
  </r>
  <r>
    <x v="0"/>
    <x v="1"/>
    <s v="Christian Eriksen"/>
    <x v="0"/>
    <s v="Dinamarca"/>
    <s v="Inter Milan"/>
    <n v="27000000"/>
    <n v="27"/>
    <s v="Venda"/>
  </r>
  <r>
    <x v="1"/>
    <x v="0"/>
    <s v="Pierre-Emile Højbjerg"/>
    <x v="0"/>
    <s v="Dinamarca"/>
    <s v="Southampton"/>
    <n v="16600000"/>
    <n v="25"/>
    <s v="Compra"/>
  </r>
  <r>
    <x v="1"/>
    <x v="0"/>
    <s v="Sergio Reguilón"/>
    <x v="2"/>
    <s v="Espanha"/>
    <s v="Real Madrid"/>
    <n v="30000000"/>
    <n v="23"/>
    <s v="Compra"/>
  </r>
  <r>
    <x v="1"/>
    <x v="1"/>
    <s v="Jan Vertonghen"/>
    <x v="2"/>
    <s v="Bélgica"/>
    <s v="Benfica"/>
    <n v="0"/>
    <n v="33"/>
    <s v="Livre"/>
  </r>
  <r>
    <x v="1"/>
    <x v="0"/>
    <s v="Matt Doherty"/>
    <x v="2"/>
    <s v="Irlanda"/>
    <s v="Wolves"/>
    <n v="16800000"/>
    <n v="28"/>
    <s v="Compra"/>
  </r>
  <r>
    <x v="2"/>
    <x v="0"/>
    <s v="Cristian Romero"/>
    <x v="2"/>
    <s v="Argentina"/>
    <s v="Atalanta"/>
    <n v="52000000"/>
    <n v="23"/>
    <s v="Compra"/>
  </r>
  <r>
    <x v="2"/>
    <x v="0"/>
    <s v="Dejan Kulusevski"/>
    <x v="1"/>
    <s v="Suécia"/>
    <s v="Juventus"/>
    <n v="0"/>
    <n v="21"/>
    <s v="Empréstimo"/>
  </r>
  <r>
    <x v="2"/>
    <x v="1"/>
    <s v="Toby Alderweireld"/>
    <x v="2"/>
    <s v="Bélgica"/>
    <s v="Al Duhail"/>
    <n v="13000000"/>
    <n v="32"/>
    <s v="Venda"/>
  </r>
  <r>
    <x v="2"/>
    <x v="0"/>
    <s v="Rodrigo Bentancur"/>
    <x v="0"/>
    <s v="Uruguai"/>
    <s v="Juventus"/>
    <n v="19000000"/>
    <n v="24"/>
    <s v="Compra"/>
  </r>
  <r>
    <x v="3"/>
    <x v="0"/>
    <s v="Richarlison"/>
    <x v="1"/>
    <s v="Brasil"/>
    <s v="Everton"/>
    <n v="58000000"/>
    <n v="25"/>
    <s v="Compra"/>
  </r>
  <r>
    <x v="3"/>
    <x v="0"/>
    <s v="Yves Bissouma"/>
    <x v="0"/>
    <s v="Mali"/>
    <s v="Brighton"/>
    <n v="29000000"/>
    <n v="25"/>
    <s v="Compra"/>
  </r>
  <r>
    <x v="3"/>
    <x v="1"/>
    <s v="Steven Bergwijn"/>
    <x v="1"/>
    <s v="Holanda"/>
    <s v="Ajax"/>
    <n v="31300000"/>
    <n v="24"/>
    <s v="Venda"/>
  </r>
  <r>
    <x v="3"/>
    <x v="0"/>
    <s v="Ivan Perišić"/>
    <x v="1"/>
    <s v="Croácia"/>
    <s v="Inter Milan"/>
    <n v="0"/>
    <n v="33"/>
    <s v="Livre"/>
  </r>
  <r>
    <x v="4"/>
    <x v="0"/>
    <s v="James Maddison"/>
    <x v="0"/>
    <s v="Inglaterra"/>
    <s v="Leicester City"/>
    <n v="46300000"/>
    <n v="26"/>
    <s v="Compra"/>
  </r>
  <r>
    <x v="4"/>
    <x v="0"/>
    <s v="Micky van de Ven"/>
    <x v="2"/>
    <s v="Holanda"/>
    <s v="Wolfsburg"/>
    <n v="40000000"/>
    <n v="22"/>
    <s v="Compra"/>
  </r>
  <r>
    <x v="4"/>
    <x v="1"/>
    <s v="Harry Kane"/>
    <x v="1"/>
    <s v="Inglaterra"/>
    <s v="Bayern München"/>
    <n v="95000000"/>
    <n v="30"/>
    <s v="Venda"/>
  </r>
  <r>
    <x v="4"/>
    <x v="0"/>
    <s v="Brennan Johnson"/>
    <x v="1"/>
    <s v="País De Gales"/>
    <s v="Nottingham Forest"/>
    <n v="47500000"/>
    <n v="22"/>
    <s v="Compra"/>
  </r>
  <r>
    <x v="5"/>
    <x v="0"/>
    <s v="Dominic Solanke"/>
    <x v="1"/>
    <s v="Inglaterra"/>
    <s v="Bournemouth"/>
    <n v="65000000"/>
    <n v="26"/>
    <s v="Compra"/>
  </r>
  <r>
    <x v="5"/>
    <x v="0"/>
    <s v="Archie Gray"/>
    <x v="0"/>
    <s v="Inglaterra"/>
    <s v="Leeds United"/>
    <n v="41000000"/>
    <n v="18"/>
    <s v="Compra"/>
  </r>
  <r>
    <x v="5"/>
    <x v="1"/>
    <s v="Pierre-Emile Højbjerg"/>
    <x v="0"/>
    <s v="Dinamarca"/>
    <s v="Olympique Marseille"/>
    <n v="13500000"/>
    <n v="29"/>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Posições" colHeaderCaption="Tipo de Movimentação">
  <location ref="O14:P19" firstHeaderRow="1" firstDataRow="2" firstDataCol="1"/>
  <pivotFields count="9">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9">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I24"/>
  <sheetViews>
    <sheetView topLeftCell="A14" zoomScaleNormal="100" workbookViewId="0">
      <selection activeCell="F14" sqref="F1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9" width="19.85546875" bestFit="1" customWidth="1"/>
    <col min="10" max="10" width="20.140625" bestFit="1" customWidth="1"/>
  </cols>
  <sheetData>
    <row r="1" spans="1:9" x14ac:dyDescent="0.25">
      <c r="A1" s="2" t="s">
        <v>143</v>
      </c>
      <c r="B1" s="2" t="s">
        <v>144</v>
      </c>
      <c r="C1" s="2" t="s">
        <v>144</v>
      </c>
      <c r="D1" s="2" t="s">
        <v>144</v>
      </c>
      <c r="E1" s="2" t="s">
        <v>144</v>
      </c>
      <c r="F1" s="2" t="s">
        <v>144</v>
      </c>
      <c r="G1" s="2" t="s">
        <v>145</v>
      </c>
      <c r="H1" s="2" t="s">
        <v>146</v>
      </c>
      <c r="I1" s="2" t="s">
        <v>144</v>
      </c>
    </row>
    <row r="2" spans="1:9" x14ac:dyDescent="0.25">
      <c r="A2" s="3" t="s">
        <v>0</v>
      </c>
      <c r="B2" s="4" t="s">
        <v>140</v>
      </c>
      <c r="C2" s="3" t="s">
        <v>2</v>
      </c>
      <c r="D2" s="3" t="s">
        <v>3</v>
      </c>
      <c r="E2" s="3" t="s">
        <v>4</v>
      </c>
      <c r="F2" s="3" t="s">
        <v>5</v>
      </c>
      <c r="G2" s="4" t="s">
        <v>141</v>
      </c>
      <c r="H2" s="3" t="s">
        <v>7</v>
      </c>
      <c r="I2" s="4" t="s">
        <v>142</v>
      </c>
    </row>
    <row r="3" spans="1:9" x14ac:dyDescent="0.25">
      <c r="A3" s="2" t="s">
        <v>9</v>
      </c>
      <c r="B3" s="2" t="s">
        <v>18</v>
      </c>
      <c r="C3" s="2" t="s">
        <v>147</v>
      </c>
      <c r="D3" s="2" t="s">
        <v>156</v>
      </c>
      <c r="E3" s="2" t="s">
        <v>13</v>
      </c>
      <c r="F3" s="2" t="s">
        <v>14</v>
      </c>
      <c r="G3" s="6">
        <v>62000000</v>
      </c>
      <c r="H3" s="5">
        <v>22</v>
      </c>
      <c r="I3" s="2" t="s">
        <v>16</v>
      </c>
    </row>
    <row r="4" spans="1:9" x14ac:dyDescent="0.25">
      <c r="A4" s="2" t="s">
        <v>9</v>
      </c>
      <c r="B4" s="2" t="s">
        <v>18</v>
      </c>
      <c r="C4" s="2" t="s">
        <v>88</v>
      </c>
      <c r="D4" s="2" t="s">
        <v>77</v>
      </c>
      <c r="E4" s="2" t="s">
        <v>90</v>
      </c>
      <c r="F4" s="2" t="s">
        <v>22</v>
      </c>
      <c r="G4" s="6">
        <v>30000000</v>
      </c>
      <c r="H4" s="5">
        <v>22</v>
      </c>
      <c r="I4" s="2" t="s">
        <v>16</v>
      </c>
    </row>
    <row r="5" spans="1:9" x14ac:dyDescent="0.25">
      <c r="A5" s="2" t="s">
        <v>9</v>
      </c>
      <c r="B5" s="2" t="s">
        <v>48</v>
      </c>
      <c r="C5" s="2" t="s">
        <v>28</v>
      </c>
      <c r="D5" s="2" t="s">
        <v>156</v>
      </c>
      <c r="E5" s="2" t="s">
        <v>30</v>
      </c>
      <c r="F5" s="2" t="s">
        <v>153</v>
      </c>
      <c r="G5" s="6">
        <v>27000000</v>
      </c>
      <c r="H5" s="5">
        <v>27</v>
      </c>
      <c r="I5" s="2" t="s">
        <v>33</v>
      </c>
    </row>
    <row r="6" spans="1:9" x14ac:dyDescent="0.25">
      <c r="A6" s="2" t="s">
        <v>34</v>
      </c>
      <c r="B6" s="2" t="s">
        <v>18</v>
      </c>
      <c r="C6" s="2" t="s">
        <v>149</v>
      </c>
      <c r="D6" s="2" t="s">
        <v>156</v>
      </c>
      <c r="E6" s="2" t="s">
        <v>30</v>
      </c>
      <c r="F6" s="2" t="s">
        <v>38</v>
      </c>
      <c r="G6" s="6">
        <v>16600000</v>
      </c>
      <c r="H6" s="5">
        <v>25</v>
      </c>
      <c r="I6" s="2" t="s">
        <v>16</v>
      </c>
    </row>
    <row r="7" spans="1:9" x14ac:dyDescent="0.25">
      <c r="A7" s="2" t="s">
        <v>34</v>
      </c>
      <c r="B7" s="2" t="s">
        <v>18</v>
      </c>
      <c r="C7" s="2" t="s">
        <v>150</v>
      </c>
      <c r="D7" s="2" t="s">
        <v>70</v>
      </c>
      <c r="E7" s="2" t="s">
        <v>44</v>
      </c>
      <c r="F7" s="2" t="s">
        <v>45</v>
      </c>
      <c r="G7" s="6">
        <v>30000000</v>
      </c>
      <c r="H7" s="5">
        <v>23</v>
      </c>
      <c r="I7" s="2" t="s">
        <v>16</v>
      </c>
    </row>
    <row r="8" spans="1:9" x14ac:dyDescent="0.25">
      <c r="A8" s="2" t="s">
        <v>34</v>
      </c>
      <c r="B8" s="2" t="s">
        <v>48</v>
      </c>
      <c r="C8" s="2" t="s">
        <v>49</v>
      </c>
      <c r="D8" s="2" t="s">
        <v>70</v>
      </c>
      <c r="E8" s="2" t="s">
        <v>51</v>
      </c>
      <c r="F8" s="2" t="s">
        <v>52</v>
      </c>
      <c r="G8" s="6">
        <v>0</v>
      </c>
      <c r="H8" s="5">
        <v>33</v>
      </c>
      <c r="I8" s="2" t="s">
        <v>53</v>
      </c>
    </row>
    <row r="9" spans="1:9" x14ac:dyDescent="0.25">
      <c r="A9" s="2" t="s">
        <v>34</v>
      </c>
      <c r="B9" s="2" t="s">
        <v>18</v>
      </c>
      <c r="C9" s="2" t="s">
        <v>131</v>
      </c>
      <c r="D9" s="2" t="s">
        <v>70</v>
      </c>
      <c r="E9" s="2" t="s">
        <v>132</v>
      </c>
      <c r="F9" s="2" t="s">
        <v>134</v>
      </c>
      <c r="G9" s="6">
        <v>16800000</v>
      </c>
      <c r="H9" s="5">
        <v>28</v>
      </c>
      <c r="I9" s="2" t="s">
        <v>16</v>
      </c>
    </row>
    <row r="10" spans="1:9" x14ac:dyDescent="0.25">
      <c r="A10" s="2" t="s">
        <v>55</v>
      </c>
      <c r="B10" s="2" t="s">
        <v>18</v>
      </c>
      <c r="C10" s="2" t="s">
        <v>56</v>
      </c>
      <c r="D10" s="2" t="s">
        <v>70</v>
      </c>
      <c r="E10" s="2" t="s">
        <v>151</v>
      </c>
      <c r="F10" s="2" t="s">
        <v>59</v>
      </c>
      <c r="G10" s="6">
        <v>52000000</v>
      </c>
      <c r="H10" s="5">
        <v>23</v>
      </c>
      <c r="I10" s="2" t="s">
        <v>16</v>
      </c>
    </row>
    <row r="11" spans="1:9" x14ac:dyDescent="0.25">
      <c r="A11" s="2" t="s">
        <v>55</v>
      </c>
      <c r="B11" s="2" t="s">
        <v>18</v>
      </c>
      <c r="C11" s="2" t="s">
        <v>62</v>
      </c>
      <c r="D11" s="2" t="s">
        <v>77</v>
      </c>
      <c r="E11" s="2" t="s">
        <v>64</v>
      </c>
      <c r="F11" s="2" t="s">
        <v>65</v>
      </c>
      <c r="G11" s="6">
        <v>0</v>
      </c>
      <c r="H11" s="5">
        <v>21</v>
      </c>
      <c r="I11" s="2" t="s">
        <v>157</v>
      </c>
    </row>
    <row r="12" spans="1:9" x14ac:dyDescent="0.25">
      <c r="A12" s="2" t="s">
        <v>55</v>
      </c>
      <c r="B12" s="2" t="s">
        <v>48</v>
      </c>
      <c r="C12" s="2" t="s">
        <v>69</v>
      </c>
      <c r="D12" s="2" t="s">
        <v>70</v>
      </c>
      <c r="E12" s="2" t="s">
        <v>51</v>
      </c>
      <c r="F12" s="2" t="s">
        <v>72</v>
      </c>
      <c r="G12" s="6">
        <v>13000000</v>
      </c>
      <c r="H12" s="5">
        <v>32</v>
      </c>
      <c r="I12" s="2" t="s">
        <v>33</v>
      </c>
    </row>
    <row r="13" spans="1:9" x14ac:dyDescent="0.25">
      <c r="A13" s="2" t="s">
        <v>55</v>
      </c>
      <c r="B13" s="2" t="s">
        <v>18</v>
      </c>
      <c r="C13" s="2" t="s">
        <v>127</v>
      </c>
      <c r="D13" s="2" t="s">
        <v>156</v>
      </c>
      <c r="E13" s="2" t="s">
        <v>129</v>
      </c>
      <c r="F13" s="2" t="s">
        <v>65</v>
      </c>
      <c r="G13" s="6">
        <v>19000000</v>
      </c>
      <c r="H13" s="5">
        <v>24</v>
      </c>
      <c r="I13" s="2" t="s">
        <v>16</v>
      </c>
    </row>
    <row r="14" spans="1:9" x14ac:dyDescent="0.25">
      <c r="A14" s="2" t="s">
        <v>75</v>
      </c>
      <c r="B14" s="2" t="s">
        <v>18</v>
      </c>
      <c r="C14" s="2" t="s">
        <v>76</v>
      </c>
      <c r="D14" s="2" t="s">
        <v>77</v>
      </c>
      <c r="E14" s="2" t="s">
        <v>78</v>
      </c>
      <c r="F14" s="2" t="s">
        <v>79</v>
      </c>
      <c r="G14" s="6">
        <v>58000000</v>
      </c>
      <c r="H14" s="5">
        <v>25</v>
      </c>
      <c r="I14" s="2" t="s">
        <v>16</v>
      </c>
    </row>
    <row r="15" spans="1:9" x14ac:dyDescent="0.25">
      <c r="A15" s="2" t="s">
        <v>75</v>
      </c>
      <c r="B15" s="2" t="s">
        <v>18</v>
      </c>
      <c r="C15" s="2" t="s">
        <v>82</v>
      </c>
      <c r="D15" s="2" t="s">
        <v>156</v>
      </c>
      <c r="E15" s="2" t="s">
        <v>84</v>
      </c>
      <c r="F15" s="2" t="s">
        <v>85</v>
      </c>
      <c r="G15" s="6">
        <v>29000000</v>
      </c>
      <c r="H15" s="5">
        <v>25</v>
      </c>
      <c r="I15" s="2" t="s">
        <v>16</v>
      </c>
    </row>
    <row r="16" spans="1:9" x14ac:dyDescent="0.25">
      <c r="A16" s="2" t="s">
        <v>75</v>
      </c>
      <c r="B16" s="2" t="s">
        <v>48</v>
      </c>
      <c r="C16" s="2" t="s">
        <v>88</v>
      </c>
      <c r="D16" s="2" t="s">
        <v>77</v>
      </c>
      <c r="E16" s="2" t="s">
        <v>90</v>
      </c>
      <c r="F16" s="2" t="s">
        <v>91</v>
      </c>
      <c r="G16" s="6">
        <v>31300000</v>
      </c>
      <c r="H16" s="5">
        <v>24</v>
      </c>
      <c r="I16" s="2" t="s">
        <v>33</v>
      </c>
    </row>
    <row r="17" spans="1:9" x14ac:dyDescent="0.25">
      <c r="A17" s="2" t="s">
        <v>75</v>
      </c>
      <c r="B17" s="2" t="s">
        <v>18</v>
      </c>
      <c r="C17" s="2" t="s">
        <v>148</v>
      </c>
      <c r="D17" s="2" t="s">
        <v>77</v>
      </c>
      <c r="E17" s="2" t="s">
        <v>124</v>
      </c>
      <c r="F17" s="2" t="s">
        <v>153</v>
      </c>
      <c r="G17" s="6">
        <v>0</v>
      </c>
      <c r="H17" s="5">
        <v>33</v>
      </c>
      <c r="I17" s="2" t="s">
        <v>53</v>
      </c>
    </row>
    <row r="18" spans="1:9" x14ac:dyDescent="0.25">
      <c r="A18" s="2" t="s">
        <v>93</v>
      </c>
      <c r="B18" s="2" t="s">
        <v>18</v>
      </c>
      <c r="C18" s="2" t="s">
        <v>95</v>
      </c>
      <c r="D18" s="2" t="s">
        <v>156</v>
      </c>
      <c r="E18" s="2" t="s">
        <v>97</v>
      </c>
      <c r="F18" s="2" t="s">
        <v>98</v>
      </c>
      <c r="G18" s="6">
        <v>46300000</v>
      </c>
      <c r="H18" s="5">
        <v>26</v>
      </c>
      <c r="I18" s="2" t="s">
        <v>16</v>
      </c>
    </row>
    <row r="19" spans="1:9" x14ac:dyDescent="0.25">
      <c r="A19" s="2" t="s">
        <v>93</v>
      </c>
      <c r="B19" s="2" t="s">
        <v>18</v>
      </c>
      <c r="C19" s="2" t="s">
        <v>100</v>
      </c>
      <c r="D19" s="2" t="s">
        <v>70</v>
      </c>
      <c r="E19" s="2" t="s">
        <v>90</v>
      </c>
      <c r="F19" s="2" t="s">
        <v>102</v>
      </c>
      <c r="G19" s="6">
        <v>40000000</v>
      </c>
      <c r="H19" s="5">
        <v>22</v>
      </c>
      <c r="I19" s="2" t="s">
        <v>16</v>
      </c>
    </row>
    <row r="20" spans="1:9" x14ac:dyDescent="0.25">
      <c r="A20" s="2" t="s">
        <v>93</v>
      </c>
      <c r="B20" s="2" t="s">
        <v>48</v>
      </c>
      <c r="C20" s="2" t="s">
        <v>104</v>
      </c>
      <c r="D20" s="2" t="s">
        <v>77</v>
      </c>
      <c r="E20" s="2" t="s">
        <v>97</v>
      </c>
      <c r="F20" s="2" t="s">
        <v>154</v>
      </c>
      <c r="G20" s="6">
        <v>95000000</v>
      </c>
      <c r="H20" s="5">
        <v>30</v>
      </c>
      <c r="I20" s="2" t="s">
        <v>33</v>
      </c>
    </row>
    <row r="21" spans="1:9" x14ac:dyDescent="0.25">
      <c r="A21" s="2" t="s">
        <v>93</v>
      </c>
      <c r="B21" s="2" t="s">
        <v>18</v>
      </c>
      <c r="C21" s="2" t="s">
        <v>136</v>
      </c>
      <c r="D21" s="2" t="s">
        <v>77</v>
      </c>
      <c r="E21" s="2" t="s">
        <v>152</v>
      </c>
      <c r="F21" s="2" t="s">
        <v>139</v>
      </c>
      <c r="G21" s="6">
        <v>47500000</v>
      </c>
      <c r="H21" s="5">
        <v>22</v>
      </c>
      <c r="I21" s="2" t="s">
        <v>16</v>
      </c>
    </row>
    <row r="22" spans="1:9" x14ac:dyDescent="0.25">
      <c r="A22" s="2" t="s">
        <v>109</v>
      </c>
      <c r="B22" s="2" t="s">
        <v>18</v>
      </c>
      <c r="C22" s="2" t="s">
        <v>110</v>
      </c>
      <c r="D22" s="2" t="s">
        <v>77</v>
      </c>
      <c r="E22" s="2" t="s">
        <v>97</v>
      </c>
      <c r="F22" s="2" t="s">
        <v>112</v>
      </c>
      <c r="G22" s="6">
        <v>65000000</v>
      </c>
      <c r="H22" s="5">
        <v>26</v>
      </c>
      <c r="I22" s="2" t="s">
        <v>16</v>
      </c>
    </row>
    <row r="23" spans="1:9" x14ac:dyDescent="0.25">
      <c r="A23" s="2" t="s">
        <v>109</v>
      </c>
      <c r="B23" s="2" t="s">
        <v>18</v>
      </c>
      <c r="C23" s="2" t="s">
        <v>114</v>
      </c>
      <c r="D23" s="2" t="s">
        <v>156</v>
      </c>
      <c r="E23" s="2" t="s">
        <v>97</v>
      </c>
      <c r="F23" s="2" t="s">
        <v>117</v>
      </c>
      <c r="G23" s="6">
        <v>41000000</v>
      </c>
      <c r="H23" s="5">
        <v>18</v>
      </c>
      <c r="I23" s="2" t="s">
        <v>16</v>
      </c>
    </row>
    <row r="24" spans="1:9" x14ac:dyDescent="0.25">
      <c r="A24" s="2" t="s">
        <v>109</v>
      </c>
      <c r="B24" s="2" t="s">
        <v>48</v>
      </c>
      <c r="C24" s="2" t="s">
        <v>149</v>
      </c>
      <c r="D24" s="2" t="s">
        <v>156</v>
      </c>
      <c r="E24" s="2" t="s">
        <v>30</v>
      </c>
      <c r="F24" s="2" t="s">
        <v>155</v>
      </c>
      <c r="G24" s="6">
        <v>13500000</v>
      </c>
      <c r="H24" s="5">
        <v>29</v>
      </c>
      <c r="I24" s="2" t="s">
        <v>33</v>
      </c>
    </row>
  </sheetData>
  <autoFilter ref="A2:I24" xr:uid="{121A8764-E71B-430A-8F79-2AFBC43701E9}"/>
  <sortState xmlns:xlrd2="http://schemas.microsoft.com/office/spreadsheetml/2017/richdata2" ref="A3:I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S22"/>
  <sheetViews>
    <sheetView tabSelected="1" topLeftCell="A62" zoomScale="75" zoomScaleNormal="75" workbookViewId="0">
      <selection activeCell="L32" sqref="L32"/>
    </sheetView>
  </sheetViews>
  <sheetFormatPr defaultRowHeight="15" x14ac:dyDescent="0.25"/>
  <cols>
    <col min="1" max="1" width="25.8554687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s>
  <sheetData>
    <row r="4" spans="1:19" x14ac:dyDescent="0.25">
      <c r="C4" s="7" t="s">
        <v>158</v>
      </c>
      <c r="D4" s="7" t="s">
        <v>159</v>
      </c>
      <c r="E4" s="7" t="s">
        <v>160</v>
      </c>
      <c r="F4" s="7" t="s">
        <v>161</v>
      </c>
      <c r="G4" s="7" t="s">
        <v>162</v>
      </c>
      <c r="H4" s="7" t="s">
        <v>163</v>
      </c>
    </row>
    <row r="5" spans="1:1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19" x14ac:dyDescent="0.25">
      <c r="A14" s="8" t="s">
        <v>167</v>
      </c>
      <c r="B14" s="8" t="s">
        <v>166</v>
      </c>
      <c r="O14" s="10" t="s">
        <v>170</v>
      </c>
      <c r="P14" s="10" t="s">
        <v>171</v>
      </c>
    </row>
    <row r="15" spans="1:19" x14ac:dyDescent="0.25">
      <c r="A15" s="10" t="s">
        <v>165</v>
      </c>
      <c r="B15" s="2" t="s">
        <v>18</v>
      </c>
      <c r="C15" s="2" t="s">
        <v>48</v>
      </c>
      <c r="D15" s="2" t="s">
        <v>164</v>
      </c>
      <c r="F15" s="11" t="s">
        <v>165</v>
      </c>
      <c r="G15" s="11" t="s">
        <v>168</v>
      </c>
      <c r="O15" s="10" t="s">
        <v>169</v>
      </c>
      <c r="P15" s="2" t="s">
        <v>18</v>
      </c>
      <c r="R15" s="11" t="s">
        <v>169</v>
      </c>
      <c r="S15" s="11" t="s">
        <v>172</v>
      </c>
    </row>
    <row r="16" spans="1:1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row>
    <row r="17" spans="1:19" x14ac:dyDescent="0.25">
      <c r="A17" s="2" t="s">
        <v>34</v>
      </c>
      <c r="B17" s="6">
        <v>63400000</v>
      </c>
      <c r="C17" s="6">
        <v>0</v>
      </c>
      <c r="D17" s="6">
        <v>63400000</v>
      </c>
      <c r="F17" s="2" t="s">
        <v>34</v>
      </c>
      <c r="G17" s="6">
        <f t="shared" si="0"/>
        <v>-63400000</v>
      </c>
      <c r="O17" s="2" t="s">
        <v>77</v>
      </c>
      <c r="P17" s="6">
        <v>200500000</v>
      </c>
      <c r="R17" s="2" t="s">
        <v>77</v>
      </c>
      <c r="S17" s="13">
        <f>P17/$P$19</f>
        <v>0.36243673174258856</v>
      </c>
    </row>
    <row r="18" spans="1:19" x14ac:dyDescent="0.25">
      <c r="A18" s="2" t="s">
        <v>55</v>
      </c>
      <c r="B18" s="6">
        <v>71000000</v>
      </c>
      <c r="C18" s="6">
        <v>13000000</v>
      </c>
      <c r="D18" s="6">
        <v>84000000</v>
      </c>
      <c r="F18" s="2" t="s">
        <v>55</v>
      </c>
      <c r="G18" s="6">
        <f t="shared" si="0"/>
        <v>-58000000</v>
      </c>
      <c r="O18" s="2" t="s">
        <v>70</v>
      </c>
      <c r="P18" s="6">
        <v>138800000</v>
      </c>
      <c r="R18" s="2" t="s">
        <v>70</v>
      </c>
      <c r="S18" s="13">
        <f>P18/$P$19</f>
        <v>0.25090383224873464</v>
      </c>
    </row>
    <row r="19" spans="1:19" x14ac:dyDescent="0.25">
      <c r="A19" s="2" t="s">
        <v>75</v>
      </c>
      <c r="B19" s="6">
        <v>87000000</v>
      </c>
      <c r="C19" s="6">
        <v>31300000</v>
      </c>
      <c r="D19" s="6">
        <v>118300000</v>
      </c>
      <c r="F19" s="2" t="s">
        <v>75</v>
      </c>
      <c r="G19" s="6">
        <f t="shared" si="0"/>
        <v>-55700000</v>
      </c>
      <c r="O19" t="s">
        <v>164</v>
      </c>
      <c r="P19" s="6">
        <v>553200000</v>
      </c>
      <c r="R19" s="12" t="s">
        <v>164</v>
      </c>
      <c r="S19" s="14">
        <f>P19/$P$19</f>
        <v>1</v>
      </c>
    </row>
    <row r="20" spans="1:19" x14ac:dyDescent="0.25">
      <c r="A20" s="2" t="s">
        <v>93</v>
      </c>
      <c r="B20" s="6">
        <v>133800000</v>
      </c>
      <c r="C20" s="6">
        <v>95000000</v>
      </c>
      <c r="D20" s="6">
        <v>228800000</v>
      </c>
      <c r="F20" s="2" t="s">
        <v>93</v>
      </c>
      <c r="G20" s="6">
        <f t="shared" si="0"/>
        <v>-38800000</v>
      </c>
    </row>
    <row r="21" spans="1:19" x14ac:dyDescent="0.25">
      <c r="A21" s="2" t="s">
        <v>109</v>
      </c>
      <c r="B21" s="6">
        <v>106000000</v>
      </c>
      <c r="C21" s="6">
        <v>13500000</v>
      </c>
      <c r="D21" s="6">
        <v>119500000</v>
      </c>
      <c r="F21" s="2" t="s">
        <v>109</v>
      </c>
      <c r="G21" s="6">
        <f t="shared" si="0"/>
        <v>-92500000</v>
      </c>
    </row>
    <row r="22" spans="1:1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2026-06-19T12:13:40Z</dcterms:modified>
</cp:coreProperties>
</file>