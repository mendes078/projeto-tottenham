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8A1DD0CA-4E8E-4407-8BD3-C4D161982EB7}"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5"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<sst xmlns="http://schemas.openxmlformats.org/spreadsheetml/2006/main" count="452" uniqueCount="183">
  <si>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</si>
  <si>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</si>
  <si>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</si>
  <si>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</si>
  <si>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</si>
  <si>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</si>
  <si>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</si>
  <si>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</si>
  <si>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</si>
  <si>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</si>
  <si>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</si>
  <si>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</si>
  <si>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</si>
  <si>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</si>
  <si>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</si>
  <si>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</si>
  <si>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</si>
  <si>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</si>
  <si>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</si>
  <si>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</si>
  <si>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</si>
  <si>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</si>
  <si>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</si>
  <si>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</si>
  <si>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</si>
  <si>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</si>
  <si>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</si>
  <si>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</si>
  <si>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</si>
  <si>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</si>
  <si>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</si>
  <si>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</si>
  <si>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</si>
  <si>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</si>
  <si>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</si>
  <si>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</si>
  <si>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</si>
  <si>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</si>
  <si>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</si>
  <si>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</si>
  <si>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</si>
  <si>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</si>
  <si>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</si>
  <si>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</si>
  <si>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</si>
  <si>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</si>
  <si>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</si>
  <si>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</si>
  <si>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</si>
  <si>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</si>
  <si>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</si>
  <si>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</si>
  <si>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</si>
  <si>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</si>
  <si>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</si>
  <si>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</si>
  <si>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</si>
  <si>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</si>
  <si>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</si>
  <si>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</si>
  <si>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</si>
  <si>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</si>
  <si>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</si>
  <si>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</si>
  <si>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</si>
  <si>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</si>
  <si>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</si>
  <si>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</si>
  <si>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</si>
  <si>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</si>
  <si>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</si>
  <si>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</si>
  <si>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</si>
  <si>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</si>
  <si>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</si>
  <si>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</si>
  <si>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</si>
  <si>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</si>
  <si>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</si>
  <si>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</si>
  <si>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</si>
  <si>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</si>
  <si>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</si>
  <si>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</si>
  <si>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</si>
  <si>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</si>
  <si>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</si>
  <si>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</si>
  <si>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</si>
  <si>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</si>
  <si>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</si>
  <si>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</si>
  <si>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</si>
  <si>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</si>
  <si>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</si>
  <si>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</si>
  <si>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</si>
  <si>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</si>
  <si>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</si>
  <si>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</si>
  <si>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</si>
  <si>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</si>
  <si>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</si>
  <si>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</si>
  <si>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</si>
  <si>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</si>
  <si>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</si>
  <si>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</si>
  <si>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</si>
  <si>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</si>
  <si>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</si>
  <si>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</si>
  <si>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</si>
  <si>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</si>
  <si>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</si>
  <si>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</si>
  <si>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</si>
  <si>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</si>
  <si>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</si>
  <si>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</si>
  <si>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</si>
  <si>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</si>
  <si>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</si>
  <si>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</si>
  <si>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</si>
  <si>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</si>
  <si>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</si>
  <si>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</si>
  <si>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</si>
  <si>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</si>
  <si>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</si>
  <si>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</si>
  <si>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</si>
  <si>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</si>
  <si>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</si>
  <si>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</si>
  <si>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</si>
  <si>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</si>
  <si>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</si>
  <si>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</si>
  <si>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</si>
  <si>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</si>
  <si>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</si>
  <si>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</si>
  <si>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</si>
  <si>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</si>
  <si>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</si>
  <si>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</si>
  <si>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</si>
  <si>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</si>
  <si>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</si>
  <si>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</si>
  <si>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</si>
  <si>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</si>
  <si>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</si>
  <si>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</si>
  <si>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</si>
  <si>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</si>
  <si>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</si>
  <si>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</si>
  <si>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</si>
  <si>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</si>
  <si>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</si>
  <si>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</si>
  <si>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</si>
  <si>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</si>
  <si>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</si>
  <si>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</si>
  <si>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</si>
  <si>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</si>
  <si>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</si>
  <si>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</si>
  <si>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</si>
  <si>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</si>
  <si>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</si>
  <si>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</si>
  <si>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</si>
  <si>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</si>
  <si>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</si>
  <si>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</si>
  <si>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</si>
  <si>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Contagem de nacionalidade</t>
  </si>
  <si>
    <t>Nacionalidades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</si>
</sst>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8">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0" fillId="0" borderId="0" xfId="0" applyNumberFormat="1" applyAlignment="1">
      <alignment horizontal="center"/>
    </xf>
  </cellXfs>
  <cellStyles count="2">
    <cellStyle name="Normal" xfId="0" builtinId="0"/>
    <cellStyle name="Porcentagem" xfId="1" builtinId="5"/>
  </cellStyles>
  <dxfs count="62">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176839</xdr:colOff>
      <xdr:row>6</xdr:row>
      <xdr:rowOff>167784</xdr:rowOff>
    </xdr:from>
    <xdr:ext cx="3858750"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627287" y="1300001"/>
          <a:ext cx="385875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Contratações por Nacionalidade</a:t>
          </a:r>
        </a:p>
      </xdr:txBody>
    </xdr:sp>
    <xdr:clientData/>
  </xdr:oneCellAnchor>
  <xdr:oneCellAnchor>
    <xdr:from>
      <xdr:col>35</xdr:col>
      <xdr:colOff>532230</xdr:colOff>
      <xdr:row>8</xdr:row>
      <xdr:rowOff>133079</xdr:rowOff>
    </xdr:from>
    <xdr:ext cx="812254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4471" y="1642702"/>
          <a:ext cx="812254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perfil de</a:t>
          </a:r>
          <a:r>
            <a:rPr lang="pt-BR" sz="1400" b="0" i="1" baseline="0"/>
            <a:t> contratação predominante em relação à nacionalidade dos atletas?</a:t>
          </a:r>
          <a:endParaRPr lang="pt-BR" sz="1400" b="0" i="1"/>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8546570"/>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85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s v="Lyon"/>
    <n v="62000000"/>
    <n v="22"/>
    <s v="Jovem (21-25 anos)"/>
    <s v="Compra"/>
  </r>
  <r>
    <x v="0"/>
    <s v="Steven Bergwijn"/>
    <s v="Atacante"/>
    <x v="1"/>
    <s v="PSV Eindhoven"/>
    <n v="30000000"/>
    <n v="22"/>
    <s v="Jovem (21-25 anos)"/>
    <s v="Compra"/>
  </r>
  <r>
    <x v="1"/>
    <s v="Christian Eriksen"/>
    <s v="Meio-campista"/>
    <x v="2"/>
    <s v="Inter Milan"/>
    <n v="27000000"/>
    <n v="27"/>
    <s v="Experiente (26-30 anos)"/>
    <s v="Venda"/>
  </r>
  <r>
    <x v="0"/>
    <s v="Pierre-Emile Højbjerg"/>
    <s v="Meio-campista"/>
    <x v="2"/>
    <s v="Southampton"/>
    <n v="16600000"/>
    <n v="25"/>
    <s v="Jovem (21-25 anos)"/>
    <s v="Compra"/>
  </r>
  <r>
    <x v="0"/>
    <s v="Sergio Reguilón"/>
    <s v="Defensor"/>
    <x v="3"/>
    <s v="Real Madrid"/>
    <n v="30000000"/>
    <n v="23"/>
    <s v="Jovem (21-25 anos)"/>
    <s v="Compra"/>
  </r>
  <r>
    <x v="1"/>
    <s v="Jan Vertonghen"/>
    <s v="Defensor"/>
    <x v="4"/>
    <s v="Benfica"/>
    <n v="0"/>
    <n v="33"/>
    <s v="Veterano (31+ anos)"/>
    <s v="Livre"/>
  </r>
  <r>
    <x v="0"/>
    <s v="Matt Doherty"/>
    <s v="Defensor"/>
    <x v="5"/>
    <s v="Wolves"/>
    <n v="16800000"/>
    <n v="28"/>
    <s v="Experiente (26-30 anos)"/>
    <s v="Compra"/>
  </r>
  <r>
    <x v="0"/>
    <s v="Cristian Romero"/>
    <s v="Defensor"/>
    <x v="6"/>
    <s v="Atalanta"/>
    <n v="52000000"/>
    <n v="23"/>
    <s v="Jovem (21-25 anos)"/>
    <s v="Compra"/>
  </r>
  <r>
    <x v="0"/>
    <s v="Dejan Kulusevski"/>
    <s v="Atacante"/>
    <x v="7"/>
    <s v="Juventus"/>
    <n v="0"/>
    <n v="21"/>
    <s v="Jovem (21-25 anos)"/>
    <s v="Empréstimo"/>
  </r>
  <r>
    <x v="1"/>
    <s v="Toby Alderweireld"/>
    <s v="Defensor"/>
    <x v="4"/>
    <s v="Al Duhail"/>
    <n v="13000000"/>
    <n v="32"/>
    <s v="Veterano (31+ anos)"/>
    <s v="Venda"/>
  </r>
  <r>
    <x v="0"/>
    <s v="Rodrigo Bentancur"/>
    <s v="Meio-campista"/>
    <x v="8"/>
    <s v="Juventus"/>
    <n v="19000000"/>
    <n v="24"/>
    <s v="Jovem (21-25 anos)"/>
    <s v="Compra"/>
  </r>
  <r>
    <x v="0"/>
    <s v="Richarlison"/>
    <s v="Atacante"/>
    <x v="9"/>
    <s v="Everton"/>
    <n v="58000000"/>
    <n v="25"/>
    <s v="Jovem (21-25 anos)"/>
    <s v="Compra"/>
  </r>
  <r>
    <x v="0"/>
    <s v="Yves Bissouma"/>
    <s v="Meio-campista"/>
    <x v="10"/>
    <s v="Brighton"/>
    <n v="29000000"/>
    <n v="25"/>
    <s v="Jovem (21-25 anos)"/>
    <s v="Compra"/>
  </r>
  <r>
    <x v="1"/>
    <s v="Steven Bergwijn"/>
    <s v="Atacante"/>
    <x v="1"/>
    <s v="Ajax"/>
    <n v="31300000"/>
    <n v="24"/>
    <s v="Jovem (21-25 anos)"/>
    <s v="Venda"/>
  </r>
  <r>
    <x v="0"/>
    <s v="Ivan Perišić"/>
    <s v="Atacante"/>
    <x v="11"/>
    <s v="Inter Milan"/>
    <n v="0"/>
    <n v="33"/>
    <s v="Veterano (31+ anos)"/>
    <s v="Livre"/>
  </r>
  <r>
    <x v="0"/>
    <s v="James Maddison"/>
    <s v="Meio-campista"/>
    <x v="12"/>
    <s v="Leicester City"/>
    <n v="46300000"/>
    <n v="26"/>
    <s v="Experiente (26-30 anos)"/>
    <s v="Compra"/>
  </r>
  <r>
    <x v="0"/>
    <s v="Micky van de Ven"/>
    <s v="Defensor"/>
    <x v="1"/>
    <s v="Wolfsburg"/>
    <n v="40000000"/>
    <n v="22"/>
    <s v="Jovem (21-25 anos)"/>
    <s v="Compra"/>
  </r>
  <r>
    <x v="1"/>
    <s v="Harry Kane"/>
    <s v="Atacante"/>
    <x v="12"/>
    <s v="Bayern München"/>
    <n v="95000000"/>
    <n v="30"/>
    <s v="Experiente (26-30 anos)"/>
    <s v="Venda"/>
  </r>
  <r>
    <x v="0"/>
    <s v="Brennan Johnson"/>
    <s v="Atacante"/>
    <x v="13"/>
    <s v="Nottingham Forest"/>
    <n v="47500000"/>
    <n v="22"/>
    <s v="Jovem (21-25 anos)"/>
    <s v="Compra"/>
  </r>
  <r>
    <x v="0"/>
    <s v="Dominic Solanke"/>
    <s v="Atacante"/>
    <x v="12"/>
    <s v="Bournemouth"/>
    <n v="65000000"/>
    <n v="26"/>
    <s v="Experiente (26-30 anos)"/>
    <s v="Compra"/>
  </r>
  <r>
    <x v="0"/>
    <s v="Archie Gray"/>
    <s v="Meio-campista"/>
    <x v="12"/>
    <s v="Leeds United"/>
    <n v="41000000"/>
    <n v="18"/>
    <s v="Muito Jovem (16-20 anos)"/>
    <s v="Compra"/>
  </r>
  <r>
    <x v="1"/>
    <s v="Pierre-Emile Højbjerg"/>
    <s v="Meio-campista"/>
    <x v="2"/>
    <s v="Olympique Marseille"/>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5"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showAll="0"/>
    <pivotField numFmtId="164" showAll="0"/>
    <pivotField numFmtId="1" showAll="0"/>
    <pivotField showAll="0"/>
    <pivotField showAll="0"/>
  </pivotFields>
  <rowFields count="1">
    <field x="3"/>
  </rowFields>
  <rowItems count="14">
    <i>
      <x/>
    </i>
    <i>
      <x v="2"/>
    </i>
    <i>
      <x v="3"/>
    </i>
    <i>
      <x v="4"/>
    </i>
    <i>
      <x v="5"/>
    </i>
    <i>
      <x v="6"/>
    </i>
    <i>
      <x v="7"/>
    </i>
    <i>
      <x v="8"/>
    </i>
    <i>
      <x v="9"/>
    </i>
    <i>
      <x v="10"/>
    </i>
    <i>
      <x v="11"/>
    </i>
    <i>
      <x v="12"/>
    </i>
    <i>
      <x v="13"/>
    </i>
    <i t="grand">
      <x/>
    </i>
  </rowItems>
  <colFields count="1">
    <field x="0"/>
  </colFields>
  <colItems count="1">
    <i>
      <x/>
    </i>
  </colItems>
  <dataFields count="1">
    <dataField name="Contagem de nacionalidade" fld="3" subtotal="count" baseField="0" baseItem="0"/>
  </dataFields>
  <formats count="6">
    <format dxfId="37">
      <pivotArea collapsedLevelsAreSubtotals="1" fieldPosition="0">
        <references count="1">
          <reference field="3" count="0"/>
        </references>
      </pivotArea>
    </format>
    <format dxfId="36">
      <pivotArea field="3" type="button" dataOnly="0" labelOnly="1" outline="0" axis="axisRow" fieldPosition="0"/>
    </format>
    <format dxfId="35">
      <pivotArea dataOnly="0" labelOnly="1" fieldPosition="0">
        <references count="1">
          <reference field="3" count="0"/>
        </references>
      </pivotArea>
    </format>
    <format dxfId="34">
      <pivotArea dataOnly="0" labelOnly="1" outline="0" axis="axisValues" fieldPosition="0"/>
    </format>
    <format dxfId="32">
      <pivotArea grandRow="1" outline="0" collapsedLevelsAreSubtotals="1" fieldPosition="0"/>
    </format>
    <format dxfId="6">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46">
      <pivotArea collapsedLevelsAreSubtotals="1" fieldPosition="0">
        <references count="1">
          <reference field="8" count="0"/>
        </references>
      </pivotArea>
    </format>
    <format dxfId="45">
      <pivotArea field="8" type="button" dataOnly="0" labelOnly="1" outline="0" axis="axisRow" fieldPosition="0"/>
    </format>
    <format dxfId="44">
      <pivotArea dataOnly="0" labelOnly="1" fieldPosition="0">
        <references count="1">
          <reference field="8" count="0"/>
        </references>
      </pivotArea>
    </format>
    <format dxfId="43">
      <pivotArea dataOnly="0" labelOnly="1" outline="0" axis="axisValues" fieldPosition="0"/>
    </format>
    <format dxfId="42">
      <pivotArea grandRow="1" outline="0" collapsedLevelsAreSubtotals="1" fieldPosition="0"/>
    </format>
    <format dxfId="41">
      <pivotArea dataOnly="0" labelOnly="1" grandRow="1" outline="0" fieldPosition="0"/>
    </format>
    <format dxfId="40">
      <pivotArea dataOnly="0" labelOnly="1" fieldPosition="0">
        <references count="1">
          <reference field="1" count="0"/>
        </references>
      </pivotArea>
    </format>
    <format dxfId="39">
      <pivotArea field="1" type="button" dataOnly="0" labelOnly="1" outline="0" axis="axisCol" fieldPosition="0"/>
    </format>
    <format dxfId="38">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55">
      <pivotArea type="all" dataOnly="0" outline="0" fieldPosition="0"/>
    </format>
    <format dxfId="54">
      <pivotArea outline="0" collapsedLevelsAreSubtotals="1" fieldPosition="0"/>
    </format>
    <format dxfId="53">
      <pivotArea type="origin" dataOnly="0" labelOnly="1" outline="0" fieldPosition="0"/>
    </format>
    <format dxfId="52">
      <pivotArea field="1" type="button" dataOnly="0" labelOnly="1" outline="0" axis="axisCol" fieldPosition="0"/>
    </format>
    <format dxfId="51">
      <pivotArea type="topRight" dataOnly="0" labelOnly="1" outline="0" fieldPosition="0"/>
    </format>
    <format dxfId="50">
      <pivotArea field="3" type="button" dataOnly="0" labelOnly="1" outline="0" axis="axisRow" fieldPosition="0"/>
    </format>
    <format dxfId="49">
      <pivotArea dataOnly="0" labelOnly="1" fieldPosition="0">
        <references count="1">
          <reference field="3" count="0"/>
        </references>
      </pivotArea>
    </format>
    <format dxfId="48">
      <pivotArea dataOnly="0" labelOnly="1" fieldPosition="0">
        <references count="1">
          <reference field="1" count="0"/>
        </references>
      </pivotArea>
    </format>
    <format dxfId="47">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61">
      <pivotArea collapsedLevelsAreSubtotals="1" fieldPosition="0">
        <references count="1">
          <reference field="0" count="0"/>
        </references>
      </pivotArea>
    </format>
    <format dxfId="60">
      <pivotArea field="0" type="button" dataOnly="0" labelOnly="1" outline="0" axis="axisRow" fieldPosition="0"/>
    </format>
    <format dxfId="59">
      <pivotArea dataOnly="0" labelOnly="1" fieldPosition="0">
        <references count="1">
          <reference field="0" count="0"/>
        </references>
      </pivotArea>
    </format>
    <format dxfId="58">
      <pivotArea dataOnly="0" labelOnly="1" fieldPosition="0">
        <references count="1">
          <reference field="1" count="0"/>
        </references>
      </pivotArea>
    </format>
    <format dxfId="57">
      <pivotArea dataOnly="0" labelOnly="1" grandCol="1" outline="0" fieldPosition="0"/>
    </format>
    <format dxfId="56">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2" zoomScaleNormal="100" workbookViewId="0">
      <selection activeCell="B2" sqref="B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L29"/>
  <sheetViews>
    <sheetView tabSelected="1" topLeftCell="AG8" zoomScale="106" zoomScaleNormal="106" workbookViewId="0">
      <selection activeCell="AO15" sqref="AO15"/>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7" bestFit="1" customWidth="1"/>
    <col min="38" max="38" width="25.28515625" bestFit="1" customWidth="1"/>
    <col min="39" max="40" width="11" bestFit="1" customWidth="1"/>
  </cols>
  <sheetData>
    <row r="4" spans="1:38" x14ac:dyDescent="0.25">
      <c r="C4" s="7" t="s">
        <v>158</v>
      </c>
      <c r="D4" s="7" t="s">
        <v>159</v>
      </c>
      <c r="E4" s="7" t="s">
        <v>160</v>
      </c>
      <c r="F4" s="7" t="s">
        <v>161</v>
      </c>
      <c r="G4" s="7" t="s">
        <v>162</v>
      </c>
      <c r="H4" s="7" t="s">
        <v>163</v>
      </c>
    </row>
    <row r="5" spans="1:3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38" x14ac:dyDescent="0.25">
      <c r="A14" s="8" t="s">
        <v>167</v>
      </c>
      <c r="B14" s="8" t="s">
        <v>166</v>
      </c>
      <c r="O14" s="10" t="s">
        <v>170</v>
      </c>
      <c r="P14" s="10" t="s">
        <v>171</v>
      </c>
      <c r="Y14" s="10" t="s">
        <v>175</v>
      </c>
      <c r="Z14" s="10" t="s">
        <v>171</v>
      </c>
      <c r="AK14" s="8" t="s">
        <v>181</v>
      </c>
      <c r="AL14" s="8" t="s">
        <v>175</v>
      </c>
    </row>
    <row r="15" spans="1:3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182</v>
      </c>
      <c r="AL15" s="2" t="s">
        <v>18</v>
      </c>
    </row>
    <row r="16" spans="1:38"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151</v>
      </c>
      <c r="AL16" s="17">
        <v>1</v>
      </c>
    </row>
    <row r="17" spans="1:38"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c r="AK17" s="2" t="s">
        <v>78</v>
      </c>
      <c r="AL17" s="17">
        <v>1</v>
      </c>
    </row>
    <row r="18" spans="1:38"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 t="shared" si="1"/>
        <v>0.1875</v>
      </c>
      <c r="AK18" s="2" t="s">
        <v>124</v>
      </c>
      <c r="AL18" s="17">
        <v>1</v>
      </c>
    </row>
    <row r="19" spans="1:38"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 t="shared" si="1"/>
        <v>0.6875</v>
      </c>
      <c r="AK19" s="2" t="s">
        <v>30</v>
      </c>
      <c r="AL19" s="17">
        <v>1</v>
      </c>
    </row>
    <row r="20" spans="1:38" x14ac:dyDescent="0.25">
      <c r="A20" s="2" t="s">
        <v>93</v>
      </c>
      <c r="B20" s="6">
        <v>133800000</v>
      </c>
      <c r="C20" s="6">
        <v>95000000</v>
      </c>
      <c r="D20" s="6">
        <v>228800000</v>
      </c>
      <c r="F20" s="2" t="s">
        <v>93</v>
      </c>
      <c r="G20" s="6">
        <f t="shared" si="0"/>
        <v>-38800000</v>
      </c>
      <c r="Y20" s="2" t="s">
        <v>164</v>
      </c>
      <c r="Z20" s="2">
        <v>16</v>
      </c>
      <c r="AB20" s="12" t="s">
        <v>164</v>
      </c>
      <c r="AC20" s="15">
        <f t="shared" si="1"/>
        <v>1</v>
      </c>
      <c r="AK20" s="2" t="s">
        <v>44</v>
      </c>
      <c r="AL20" s="17">
        <v>1</v>
      </c>
    </row>
    <row r="21" spans="1:38" x14ac:dyDescent="0.25">
      <c r="A21" s="2" t="s">
        <v>109</v>
      </c>
      <c r="B21" s="6">
        <v>106000000</v>
      </c>
      <c r="C21" s="6">
        <v>13500000</v>
      </c>
      <c r="D21" s="6">
        <v>119500000</v>
      </c>
      <c r="F21" s="2" t="s">
        <v>109</v>
      </c>
      <c r="G21" s="6">
        <f t="shared" si="0"/>
        <v>-92500000</v>
      </c>
      <c r="AK21" s="2" t="s">
        <v>13</v>
      </c>
      <c r="AL21" s="17">
        <v>1</v>
      </c>
    </row>
    <row r="22" spans="1:38" x14ac:dyDescent="0.25">
      <c r="A22" s="9" t="s">
        <v>164</v>
      </c>
      <c r="B22" s="6">
        <v>553200000</v>
      </c>
      <c r="C22" s="6">
        <v>179800000</v>
      </c>
      <c r="D22" s="6">
        <v>733000000</v>
      </c>
      <c r="F22" s="12" t="s">
        <v>164</v>
      </c>
      <c r="G22" s="6">
        <f t="shared" si="0"/>
        <v>-373400000</v>
      </c>
      <c r="AK22" s="2" t="s">
        <v>90</v>
      </c>
      <c r="AL22" s="17">
        <v>2</v>
      </c>
    </row>
    <row r="23" spans="1:38" x14ac:dyDescent="0.25">
      <c r="AK23" s="2" t="s">
        <v>97</v>
      </c>
      <c r="AL23" s="17">
        <v>3</v>
      </c>
    </row>
    <row r="24" spans="1:38" x14ac:dyDescent="0.25">
      <c r="AK24" s="2" t="s">
        <v>132</v>
      </c>
      <c r="AL24" s="17">
        <v>1</v>
      </c>
    </row>
    <row r="25" spans="1:38" x14ac:dyDescent="0.25">
      <c r="AK25" s="2" t="s">
        <v>84</v>
      </c>
      <c r="AL25" s="17">
        <v>1</v>
      </c>
    </row>
    <row r="26" spans="1:38" x14ac:dyDescent="0.25">
      <c r="AK26" s="2" t="s">
        <v>152</v>
      </c>
      <c r="AL26" s="17">
        <v>1</v>
      </c>
    </row>
    <row r="27" spans="1:38" x14ac:dyDescent="0.25">
      <c r="AK27" s="2" t="s">
        <v>64</v>
      </c>
      <c r="AL27" s="17">
        <v>1</v>
      </c>
    </row>
    <row r="28" spans="1:38" x14ac:dyDescent="0.25">
      <c r="AK28" s="2" t="s">
        <v>129</v>
      </c>
      <c r="AL28" s="17">
        <v>1</v>
      </c>
    </row>
    <row r="29" spans="1:38" x14ac:dyDescent="0.25">
      <c r="AK29" s="9" t="s">
        <v>164</v>
      </c>
      <c r="AL29" s="17">
        <v>16</v>
      </c>
    </row>
  </sheetData>
  <pageMargins left="0.511811024" right="0.511811024" top="0.78740157499999996" bottom="0.78740157499999996" header="0.31496062000000002" footer="0.31496062000000002"/>
  <pageSetup paperSize="9" orientation="portrait" horizontalDpi="300" verticalDpi="300"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6"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2026-06-25T22:26:39Z</dcterms:modified>
</cp:coreProperties>
</file>