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kaike\OneDrive\Documentos\GitHub\projeto-tottenham\notebooks\"/>
    </mc:Choice>
  </mc:AlternateContent>
  <xr:revisionPtr revIDLastSave="0" documentId="13_ncr:1_{A2218803-D210-4827-A5EE-41C2CB0E900C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presentação" sheetId="3" r:id="rId1"/>
    <sheet name="Dados Brutos" sheetId="1" r:id="rId2"/>
    <sheet name="Dados Tratados" sheetId="4" r:id="rId3"/>
    <sheet name="Análises" sheetId="6" r:id="rId4"/>
    <sheet name="Anotações" sheetId="5" r:id="rId5"/>
  </sheets>
  <definedNames>
    <definedName name="_xlnm._FilterDatabase" localSheetId="2" hidden="1">'Dados Tratados'!$A$2:$I$24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6" l="1"/>
  <c r="G17" i="6"/>
  <c r="G18" i="6"/>
  <c r="G19" i="6"/>
  <c r="G20" i="6"/>
  <c r="G21" i="6"/>
  <c r="G16" i="6"/>
  <c r="H5" i="6"/>
  <c r="G5" i="6"/>
  <c r="F5" i="6"/>
  <c r="E5" i="6"/>
  <c r="D5" i="6"/>
  <c r="C5" i="6"/>
</calcChain>
</file>

<file path=xl/sharedStrings.xml><?xml version="1.0" encoding="utf-8"?>
<sst xmlns="http://schemas.openxmlformats.org/spreadsheetml/2006/main" count="402" uniqueCount="169">
  <si>
    <t>temporada</t>
  </si>
  <si>
    <t>tipo_mov</t>
  </si>
  <si>
    <t>nome_jogador</t>
  </si>
  <si>
    <t>posição</t>
  </si>
  <si>
    <t>nacionalidade</t>
  </si>
  <si>
    <t>clube</t>
  </si>
  <si>
    <t>valor_transferencia</t>
  </si>
  <si>
    <t>idade</t>
  </si>
  <si>
    <t>tipo_negociacao</t>
  </si>
  <si>
    <t>2019/20</t>
  </si>
  <si>
    <t>entrada</t>
  </si>
  <si>
    <t>Tanguy Ndombele</t>
  </si>
  <si>
    <t>meio campo</t>
  </si>
  <si>
    <t>França</t>
  </si>
  <si>
    <t>Lyon</t>
  </si>
  <si>
    <t>62000000</t>
  </si>
  <si>
    <t>Compra</t>
  </si>
  <si>
    <t>2019-20</t>
  </si>
  <si>
    <t>Entrada</t>
  </si>
  <si>
    <t xml:space="preserve">Steven Bergwijn </t>
  </si>
  <si>
    <t>PONTA</t>
  </si>
  <si>
    <t>holanda</t>
  </si>
  <si>
    <t>PSV Eindhoven</t>
  </si>
  <si>
    <t>€30M</t>
  </si>
  <si>
    <t>22</t>
  </si>
  <si>
    <t>compra</t>
  </si>
  <si>
    <t xml:space="preserve">2019/20 </t>
  </si>
  <si>
    <t>saida</t>
  </si>
  <si>
    <t>Christian Eriksen</t>
  </si>
  <si>
    <t>Meia</t>
  </si>
  <si>
    <t>Dinamarca</t>
  </si>
  <si>
    <t>Inter de Milão</t>
  </si>
  <si>
    <t>27 milhões</t>
  </si>
  <si>
    <t>Venda</t>
  </si>
  <si>
    <t>2020/21</t>
  </si>
  <si>
    <t>Pierre Emile Højbjerg</t>
  </si>
  <si>
    <t>volante</t>
  </si>
  <si>
    <t>dinamarca</t>
  </si>
  <si>
    <t>Southampton</t>
  </si>
  <si>
    <t>16.6m</t>
  </si>
  <si>
    <t>COMPRA</t>
  </si>
  <si>
    <t>2020_21</t>
  </si>
  <si>
    <t xml:space="preserve"> Sergio Reguilón</t>
  </si>
  <si>
    <t>Lateral-esquerdo</t>
  </si>
  <si>
    <t>Espanha</t>
  </si>
  <si>
    <t>Real Madrid</t>
  </si>
  <si>
    <t>30000000</t>
  </si>
  <si>
    <t>23 anos</t>
  </si>
  <si>
    <t>Saída</t>
  </si>
  <si>
    <t>Jan Vertonghen</t>
  </si>
  <si>
    <t>ZAG</t>
  </si>
  <si>
    <t>Bélgica</t>
  </si>
  <si>
    <t>Benfica</t>
  </si>
  <si>
    <t>Livre</t>
  </si>
  <si>
    <t>fim contrato</t>
  </si>
  <si>
    <t>2021/22</t>
  </si>
  <si>
    <t>Cristian Romero</t>
  </si>
  <si>
    <t>zagueiro</t>
  </si>
  <si>
    <t>argentina</t>
  </si>
  <si>
    <t>Atalanta</t>
  </si>
  <si>
    <t>52M EUR</t>
  </si>
  <si>
    <t>2021-22</t>
  </si>
  <si>
    <t>Dejan Kulusevski</t>
  </si>
  <si>
    <t>Ponta direita</t>
  </si>
  <si>
    <t>Suécia</t>
  </si>
  <si>
    <t>Juventus</t>
  </si>
  <si>
    <t>loan</t>
  </si>
  <si>
    <t>emprestimo</t>
  </si>
  <si>
    <t>Saida</t>
  </si>
  <si>
    <t>Toby Alderweireld</t>
  </si>
  <si>
    <t>Defensor</t>
  </si>
  <si>
    <t>Belgica</t>
  </si>
  <si>
    <t>Al Duhail</t>
  </si>
  <si>
    <t>13.000.000</t>
  </si>
  <si>
    <t>VENDA</t>
  </si>
  <si>
    <t>2022/23</t>
  </si>
  <si>
    <t>Richarlison</t>
  </si>
  <si>
    <t>Atacante</t>
  </si>
  <si>
    <t>Brasil</t>
  </si>
  <si>
    <t>Everton</t>
  </si>
  <si>
    <t>58 mi</t>
  </si>
  <si>
    <t>2022/2023</t>
  </si>
  <si>
    <t>Yves Bissouma</t>
  </si>
  <si>
    <t>VOL</t>
  </si>
  <si>
    <t>Mali</t>
  </si>
  <si>
    <t>Brighton</t>
  </si>
  <si>
    <t>€29.000.000</t>
  </si>
  <si>
    <t>25</t>
  </si>
  <si>
    <t>Steven Bergwijn</t>
  </si>
  <si>
    <t>winger</t>
  </si>
  <si>
    <t>Holanda</t>
  </si>
  <si>
    <t>Ajax</t>
  </si>
  <si>
    <t>31,3M</t>
  </si>
  <si>
    <t>2023/24</t>
  </si>
  <si>
    <t>ENTRADA</t>
  </si>
  <si>
    <t>James Maddison</t>
  </si>
  <si>
    <t>meio-campo</t>
  </si>
  <si>
    <t>Inglaterra</t>
  </si>
  <si>
    <t>Leicester City</t>
  </si>
  <si>
    <t>46300000</t>
  </si>
  <si>
    <t>Micky van de Ven</t>
  </si>
  <si>
    <t xml:space="preserve">zagueiro </t>
  </si>
  <si>
    <t>Wolfsburg</t>
  </si>
  <si>
    <t>40M</t>
  </si>
  <si>
    <t>Harry Kane</t>
  </si>
  <si>
    <t>Centroavante</t>
  </si>
  <si>
    <t xml:space="preserve"> Inglaterra</t>
  </si>
  <si>
    <t>Bayern</t>
  </si>
  <si>
    <t>95000000</t>
  </si>
  <si>
    <t>2024/25</t>
  </si>
  <si>
    <t>Dominic Solanke</t>
  </si>
  <si>
    <t>ATA</t>
  </si>
  <si>
    <t>Bournemouth</t>
  </si>
  <si>
    <t>65 milhões</t>
  </si>
  <si>
    <t>Archie Gray</t>
  </si>
  <si>
    <t>Meio Campo</t>
  </si>
  <si>
    <t>inglaterra</t>
  </si>
  <si>
    <t>Leeds United</t>
  </si>
  <si>
    <t>41m</t>
  </si>
  <si>
    <t>18</t>
  </si>
  <si>
    <t>Pierre-Emile Hojbjerg</t>
  </si>
  <si>
    <t>Marseille</t>
  </si>
  <si>
    <t>13.5M</t>
  </si>
  <si>
    <t>Ivan Perisic</t>
  </si>
  <si>
    <t>Croácia</t>
  </si>
  <si>
    <t>Inter</t>
  </si>
  <si>
    <t>Entrda</t>
  </si>
  <si>
    <t>Rodrigo Bentancur</t>
  </si>
  <si>
    <t>meiocampo</t>
  </si>
  <si>
    <t>Uruguai</t>
  </si>
  <si>
    <t>19000000</t>
  </si>
  <si>
    <t>Matt Doherty</t>
  </si>
  <si>
    <t>Irlanda</t>
  </si>
  <si>
    <t>Lateral</t>
  </si>
  <si>
    <t>Wolves</t>
  </si>
  <si>
    <t>16.8M</t>
  </si>
  <si>
    <t>Brennan Johnson</t>
  </si>
  <si>
    <t>Ponta</t>
  </si>
  <si>
    <t>País de Gales</t>
  </si>
  <si>
    <t>Nottingham Forest</t>
  </si>
  <si>
    <t>tipo_movimentação</t>
  </si>
  <si>
    <t>valor_transferência</t>
  </si>
  <si>
    <t>tipo_negociação</t>
  </si>
  <si>
    <t>Qualitativa Ordinal</t>
  </si>
  <si>
    <t>Qualitativa Nominal</t>
  </si>
  <si>
    <t>Quantitativa Contínua</t>
  </si>
  <si>
    <t>Quantitativa Discreta</t>
  </si>
  <si>
    <t>Tanguy Ndombélé</t>
  </si>
  <si>
    <t>Ivan Perišić</t>
  </si>
  <si>
    <t>Pierre-Emile Højbjerg</t>
  </si>
  <si>
    <t>Sergio Reguilón</t>
  </si>
  <si>
    <t>Argentina</t>
  </si>
  <si>
    <t>País De Gales</t>
  </si>
  <si>
    <t>Inter Milan</t>
  </si>
  <si>
    <t>Bayern München</t>
  </si>
  <si>
    <t>Olympique Marseille</t>
  </si>
  <si>
    <t>Meio-campista</t>
  </si>
  <si>
    <t>Empréstimo</t>
  </si>
  <si>
    <t>Total de Transferências</t>
  </si>
  <si>
    <t>Total de Entradas</t>
  </si>
  <si>
    <t>Total de Saídas</t>
  </si>
  <si>
    <t>Total de Jogadores</t>
  </si>
  <si>
    <t>Total de Nacionalidades</t>
  </si>
  <si>
    <t>Idade Média dos Jogadores</t>
  </si>
  <si>
    <t>Total Geral</t>
  </si>
  <si>
    <t>Temporadas</t>
  </si>
  <si>
    <t/>
  </si>
  <si>
    <t>Somas de Entradas e Saídas</t>
  </si>
  <si>
    <t>Saldo por Temporada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</si>
</sst>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£-809]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/>
  </cellXfs>
  <cellStyles count="1">
    <cellStyle name="Normal" xfId="0" builtinId="0"/>
  </cellStyles>
  <dxfs count="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[tottenham_transferencias.xlsx]Análises!Tabela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Valores Provenientes</a:t>
            </a:r>
            <a:r>
              <a:rPr lang="pt-BR" baseline="0"/>
              <a:t> de</a:t>
            </a:r>
            <a:r>
              <a:rPr lang="pt-BR"/>
              <a:t> Entradas</a:t>
            </a:r>
            <a:r>
              <a:rPr lang="pt-BR" baseline="0"/>
              <a:t> e Saídas</a:t>
            </a:r>
            <a:r>
              <a:rPr lang="pt-BR"/>
              <a:t> por Temporada (</a:t>
            </a:r>
            <a:r>
              <a:rPr lang="pt-BR" sz="1400" b="0" i="0" u="none" strike="noStrike" baseline="0"/>
              <a:t>£</a:t>
            </a:r>
            <a:r>
              <a:rPr lang="pt-B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£-809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£-809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Análises!$B$14:$B$15</c:f>
              <c:strCache>
                <c:ptCount val="1"/>
                <c:pt idx="0">
                  <c:v>Entrada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£-8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Análises!$A$16:$A$22</c:f>
              <c:strCache>
                <c:ptCount val="6"/>
                <c:pt idx="0">
                  <c:v>2019/20</c:v>
                </c:pt>
                <c:pt idx="1">
                  <c:v>2020/21</c:v>
                </c:pt>
                <c:pt idx="2">
                  <c:v>2021/22</c:v>
                </c:pt>
                <c:pt idx="3">
                  <c:v>2022/23</c:v>
                </c:pt>
                <c:pt idx="4">
                  <c:v>2023/24</c:v>
                </c:pt>
                <c:pt idx="5">
                  <c:v>2024/25</c:v>
                </c:pt>
              </c:strCache>
            </c:strRef>
          </c:cat>
          <c:val>
            <c:numRef>
              <c:f>Análises!$B$16:$B$22</c:f>
              <c:numCache>
                <c:formatCode>[$£-809]#,##0.00</c:formatCode>
                <c:ptCount val="6"/>
                <c:pt idx="0">
                  <c:v>92000000</c:v>
                </c:pt>
                <c:pt idx="1">
                  <c:v>63400000</c:v>
                </c:pt>
                <c:pt idx="2">
                  <c:v>71000000</c:v>
                </c:pt>
                <c:pt idx="3">
                  <c:v>87000000</c:v>
                </c:pt>
                <c:pt idx="4">
                  <c:v>133800000</c:v>
                </c:pt>
                <c:pt idx="5">
                  <c:v>106000000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17-42E1-897A-3727A62A8404}"/>
            </c:ext>
          </c:extLst>
        </c:ser>
        <c:ser>
          <c:idx val="1"/>
          <c:order val="1"/>
          <c:tx>
            <c:strRef>
              <c:f>Análises!$C$14:$C$15</c:f>
              <c:strCache>
                <c:ptCount val="1"/>
                <c:pt idx="0">
                  <c:v>Saída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[$£-8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Análises!$A$16:$A$22</c:f>
              <c:strCache>
                <c:ptCount val="6"/>
                <c:pt idx="0">
                  <c:v>2019/20</c:v>
                </c:pt>
                <c:pt idx="1">
                  <c:v>2020/21</c:v>
                </c:pt>
                <c:pt idx="2">
                  <c:v>2021/22</c:v>
                </c:pt>
                <c:pt idx="3">
                  <c:v>2022/23</c:v>
                </c:pt>
                <c:pt idx="4">
                  <c:v>2023/24</c:v>
                </c:pt>
                <c:pt idx="5">
                  <c:v>2024/25</c:v>
                </c:pt>
              </c:strCache>
            </c:strRef>
          </c:cat>
          <c:val>
            <c:numRef>
              <c:f>Análises!$C$16:$C$22</c:f>
              <c:numCache>
                <c:formatCode>[$£-809]#,##0.00</c:formatCode>
                <c:ptCount val="6"/>
                <c:pt idx="0">
                  <c:v>27000000</c:v>
                </c:pt>
                <c:pt idx="1">
                  <c:v>0</c:v>
                </c:pt>
                <c:pt idx="2">
                  <c:v>13000000</c:v>
                </c:pt>
                <c:pt idx="3">
                  <c:v>31300000</c:v>
                </c:pt>
                <c:pt idx="4">
                  <c:v>95000000</c:v>
                </c:pt>
                <c:pt idx="5">
                  <c:v>13500000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17-42E1-897A-3727A62A84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656976"/>
        <c:axId val="1745657936"/>
      </c:barChart>
      <c:catAx>
        <c:axId val="174565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5657936"/>
        <c:crosses val="autoZero"/>
        <c:auto val="1"/>
        <c:lblAlgn val="ctr"/>
        <c:lblOffset val="100"/>
        <c:noMultiLvlLbl val="0"/>
      </c:catAx>
      <c:valAx>
        <c:axId val="174565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£-8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565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Análises!$G$15</c:f>
              <c:strCache>
                <c:ptCount val="1"/>
                <c:pt idx="0">
                  <c:v>Saldo por Temporada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Análises!$F$16:$F$22</c:f>
              <c:strCache>
                <c:ptCount val="7"/>
                <c:pt idx="0">
                  <c:v>2019/20</c:v>
                </c:pt>
                <c:pt idx="1">
                  <c:v>2020/21</c:v>
                </c:pt>
                <c:pt idx="2">
                  <c:v>2021/22</c:v>
                </c:pt>
                <c:pt idx="3">
                  <c:v>2022/23</c:v>
                </c:pt>
                <c:pt idx="4">
                  <c:v>2023/24</c:v>
                </c:pt>
                <c:pt idx="5">
                  <c:v>2024/25</c:v>
                </c:pt>
                <c:pt idx="6">
                  <c:v>Total Geral</c:v>
                </c:pt>
              </c:strCache>
            </c:strRef>
          </c:cat>
          <c:val>
            <c:numRef>
              <c:f>Análises!$G$16:$G$22</c:f>
              <c:numCache>
                <c:formatCode>[$£-809]#,##0.00</c:formatCode>
                <c:ptCount val="7"/>
                <c:pt idx="0">
                  <c:v>-65000000</c:v>
                </c:pt>
                <c:pt idx="1">
                  <c:v>-63400000</c:v>
                </c:pt>
                <c:pt idx="2">
                  <c:v>-58000000</c:v>
                </c:pt>
                <c:pt idx="3">
                  <c:v>-55700000</c:v>
                </c:pt>
                <c:pt idx="4">
                  <c:v>-38800000</c:v>
                </c:pt>
                <c:pt idx="5">
                  <c:v>-92500000</c:v>
                </c:pt>
                <c:pt idx="6">
                  <c:v>-373400000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0E-4C2E-A93D-61AB7162C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1808064"/>
        <c:axId val="1861817184"/>
      </c:barChart>
      <c:catAx>
        <c:axId val="186180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1817184"/>
        <c:crosses val="autoZero"/>
        <c:auto val="1"/>
        <c:lblAlgn val="ctr"/>
        <c:lblOffset val="100"/>
        <c:noMultiLvlLbl val="0"/>
      </c:catAx>
      <c:valAx>
        <c:axId val="186181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£-8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180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ransfermarkt.com.br" TargetMode="External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hyperlink" Target="https://www.sofascore.com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149317</xdr:colOff>
      <xdr:row>1</xdr:row>
      <xdr:rowOff>2597</xdr:rowOff>
    </xdr:from>
    <xdr:ext cx="8835496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F16D9131-B0A3-F0E7-827F-539C48FC9E0C}"/>
            </a:ext>
          </a:extLst>
        </xdr:cNvPr>
        <xdr:cNvSpPr txBox="1"/>
      </xdr:nvSpPr>
      <xdr:spPr>
        <a:xfrm>
          <a:off x="1368517" y="193097"/>
          <a:ext cx="8835496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Análise Financeira das Transferências do Tottenham Hotspur (2019/20 - 2025/26)</a:t>
          </a:r>
        </a:p>
      </xdr:txBody>
    </xdr:sp>
    <xdr:clientData/>
  </xdr:oneCellAnchor>
  <xdr:oneCellAnchor>
    <xdr:from>
      <xdr:col>0</xdr:col>
      <xdr:colOff>60614</xdr:colOff>
      <xdr:row>3</xdr:row>
      <xdr:rowOff>129886</xdr:rowOff>
    </xdr:from>
    <xdr:ext cx="1255344" cy="327141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BC7727EF-C1D5-58F7-6A00-6791417BC2E5}"/>
            </a:ext>
          </a:extLst>
        </xdr:cNvPr>
        <xdr:cNvSpPr txBox="1"/>
      </xdr:nvSpPr>
      <xdr:spPr>
        <a:xfrm>
          <a:off x="60614" y="714375"/>
          <a:ext cx="1255344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1. Introdução</a:t>
          </a:r>
        </a:p>
      </xdr:txBody>
    </xdr:sp>
    <xdr:clientData/>
  </xdr:oneCellAnchor>
  <xdr:oneCellAnchor>
    <xdr:from>
      <xdr:col>0</xdr:col>
      <xdr:colOff>60612</xdr:colOff>
      <xdr:row>6</xdr:row>
      <xdr:rowOff>43296</xdr:rowOff>
    </xdr:from>
    <xdr:ext cx="12331413" cy="1219565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5D370021-CD04-67C3-5959-C83BAFFB0CE5}"/>
            </a:ext>
          </a:extLst>
        </xdr:cNvPr>
        <xdr:cNvSpPr txBox="1"/>
      </xdr:nvSpPr>
      <xdr:spPr>
        <a:xfrm>
          <a:off x="60612" y="1186296"/>
          <a:ext cx="12331413" cy="12195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O </a:t>
          </a:r>
          <a:r>
            <a:rPr lang="pt-BR" sz="1200" b="1"/>
            <a:t>Tottenham Hotspur </a:t>
          </a:r>
          <a:r>
            <a:rPr lang="pt-BR" sz="1200" b="0"/>
            <a:t>é um clube</a:t>
          </a:r>
          <a:r>
            <a:rPr lang="pt-BR" sz="1200" b="0" baseline="0"/>
            <a:t> profissional de futebol fundado em 1882, localizado em Londres, Inglaterra. Reconhecido historicamente por sua tradição no futebol inglês, o clube participa da </a:t>
          </a:r>
          <a:r>
            <a:rPr lang="pt-BR" sz="1200" b="1" baseline="0"/>
            <a:t>Premier League</a:t>
          </a:r>
          <a:r>
            <a:rPr lang="pt-BR" sz="1200" b="0" baseline="0"/>
            <a:t>, uma das ligas esportivas mais valiosas e competitivas do mundo.</a:t>
          </a:r>
        </a:p>
        <a:p>
          <a:pPr algn="l"/>
          <a:r>
            <a:rPr lang="pt-BR" sz="1200" b="0" baseline="0"/>
            <a:t>	Nas últimas temporadas, o Tottenham passou por importantes mudanças esportivas e financeiras, incluindo elevados investimentos no mercado de transferências, reformulação do elenco e negociações de grande impacto financeiro, como a venda de atletas estratégicos e a contratação de jogadores jovens com potencial de valorização.</a:t>
          </a:r>
        </a:p>
        <a:p>
          <a:pPr algn="l"/>
          <a:r>
            <a:rPr lang="pt-BR" sz="1200" b="0" baseline="0"/>
            <a:t>	Nesse contexto, o mercado de transferências tornou-se um dos principais pilares da gestão esportiva moderna, exigindo análises cada vez mais detalhadas sobre investimentos, vendas de jogadores e sustentabilidade financeira.</a:t>
          </a:r>
        </a:p>
      </xdr:txBody>
    </xdr:sp>
    <xdr:clientData/>
  </xdr:oneCellAnchor>
  <xdr:twoCellAnchor editAs="oneCell">
    <xdr:from>
      <xdr:col>2</xdr:col>
      <xdr:colOff>424297</xdr:colOff>
      <xdr:row>15</xdr:row>
      <xdr:rowOff>0</xdr:rowOff>
    </xdr:from>
    <xdr:to>
      <xdr:col>5</xdr:col>
      <xdr:colOff>595151</xdr:colOff>
      <xdr:row>36</xdr:row>
      <xdr:rowOff>99869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537A6D7-BCAE-5EA4-9F35-2551E09335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27455" y="2757237"/>
          <a:ext cx="1975591" cy="3960000"/>
        </a:xfrm>
        <a:prstGeom prst="rect">
          <a:avLst/>
        </a:prstGeom>
      </xdr:spPr>
    </xdr:pic>
    <xdr:clientData/>
  </xdr:twoCellAnchor>
  <xdr:twoCellAnchor editAs="oneCell">
    <xdr:from>
      <xdr:col>7</xdr:col>
      <xdr:colOff>602250</xdr:colOff>
      <xdr:row>14</xdr:row>
      <xdr:rowOff>113835</xdr:rowOff>
    </xdr:from>
    <xdr:to>
      <xdr:col>16</xdr:col>
      <xdr:colOff>471604</xdr:colOff>
      <xdr:row>35</xdr:row>
      <xdr:rowOff>177363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26EF4C72-DA2F-9572-BF40-30CA6DE32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88500" y="2733210"/>
          <a:ext cx="5380247" cy="3992591"/>
        </a:xfrm>
        <a:prstGeom prst="rect">
          <a:avLst/>
        </a:prstGeom>
        <a:effectLst>
          <a:softEdge rad="25400"/>
        </a:effectLst>
      </xdr:spPr>
    </xdr:pic>
    <xdr:clientData/>
  </xdr:twoCellAnchor>
  <xdr:oneCellAnchor>
    <xdr:from>
      <xdr:col>2</xdr:col>
      <xdr:colOff>297655</xdr:colOff>
      <xdr:row>37</xdr:row>
      <xdr:rowOff>51027</xdr:rowOff>
    </xdr:from>
    <xdr:ext cx="2289858" cy="264560"/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BB783D0A-3520-A8FE-81DB-C9BEB8E65D78}"/>
            </a:ext>
          </a:extLst>
        </xdr:cNvPr>
        <xdr:cNvSpPr txBox="1"/>
      </xdr:nvSpPr>
      <xdr:spPr>
        <a:xfrm>
          <a:off x="1522298" y="6973661"/>
          <a:ext cx="228985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100" i="1"/>
            <a:t>Escudo atual do Tottenham Hotspur</a:t>
          </a:r>
        </a:p>
      </xdr:txBody>
    </xdr:sp>
    <xdr:clientData/>
  </xdr:oneCellAnchor>
  <xdr:oneCellAnchor>
    <xdr:from>
      <xdr:col>8</xdr:col>
      <xdr:colOff>603817</xdr:colOff>
      <xdr:row>37</xdr:row>
      <xdr:rowOff>25513</xdr:rowOff>
    </xdr:from>
    <xdr:ext cx="3739485" cy="264560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67C620EE-9B7E-6468-8F23-6D3ADB66F364}"/>
            </a:ext>
          </a:extLst>
        </xdr:cNvPr>
        <xdr:cNvSpPr txBox="1"/>
      </xdr:nvSpPr>
      <xdr:spPr>
        <a:xfrm>
          <a:off x="5502388" y="6948147"/>
          <a:ext cx="373948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100" i="1"/>
            <a:t>Tottenham Hotspur Stadium,</a:t>
          </a:r>
          <a:r>
            <a:rPr lang="pt-BR" sz="1100" i="1" baseline="0"/>
            <a:t> atual estádio da equipe londrina</a:t>
          </a:r>
          <a:endParaRPr lang="pt-BR" sz="1100" i="1"/>
        </a:p>
      </xdr:txBody>
    </xdr:sp>
    <xdr:clientData/>
  </xdr:oneCellAnchor>
  <xdr:oneCellAnchor>
    <xdr:from>
      <xdr:col>0</xdr:col>
      <xdr:colOff>108659</xdr:colOff>
      <xdr:row>39</xdr:row>
      <xdr:rowOff>83622</xdr:rowOff>
    </xdr:from>
    <xdr:ext cx="1948482" cy="327141"/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3B639A6B-6503-407B-8B08-590395381102}"/>
            </a:ext>
          </a:extLst>
        </xdr:cNvPr>
        <xdr:cNvSpPr txBox="1"/>
      </xdr:nvSpPr>
      <xdr:spPr>
        <a:xfrm>
          <a:off x="108659" y="7513122"/>
          <a:ext cx="1948482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2. Objetivo do Projeto</a:t>
          </a:r>
        </a:p>
      </xdr:txBody>
    </xdr:sp>
    <xdr:clientData/>
  </xdr:oneCellAnchor>
  <xdr:oneCellAnchor>
    <xdr:from>
      <xdr:col>0</xdr:col>
      <xdr:colOff>224646</xdr:colOff>
      <xdr:row>41</xdr:row>
      <xdr:rowOff>143774</xdr:rowOff>
    </xdr:from>
    <xdr:ext cx="12148329" cy="655949"/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0F6DB5F7-4374-4779-B699-DD037B1E2E2E}"/>
            </a:ext>
          </a:extLst>
        </xdr:cNvPr>
        <xdr:cNvSpPr txBox="1"/>
      </xdr:nvSpPr>
      <xdr:spPr>
        <a:xfrm>
          <a:off x="224646" y="7954274"/>
          <a:ext cx="12148329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Este projeto tem</a:t>
          </a:r>
          <a:r>
            <a:rPr lang="pt-BR" sz="1200" baseline="0"/>
            <a:t> como principal objetivo </a:t>
          </a:r>
          <a:r>
            <a:rPr lang="pt-BR" sz="1200" b="1" baseline="0"/>
            <a:t>analisar o comportamento financeiro</a:t>
          </a:r>
          <a:r>
            <a:rPr lang="pt-BR" sz="1200" b="0" baseline="0"/>
            <a:t> do Tottenham Hotspur no mercado de transferências entre as temporadas de 2019/20 e 2025/26, utilizando técnicas de limpeza, tratamento, exploração e visualização de dados.</a:t>
          </a:r>
        </a:p>
        <a:p>
          <a:pPr algn="l"/>
          <a:r>
            <a:rPr lang="pt-BR" sz="1200" b="0" baseline="0"/>
            <a:t>	A análise busca identificar padrões de investimento, tendências de mercado e possíveis estratégias adotadas pelo clube ao longo dos anos.</a:t>
          </a:r>
        </a:p>
      </xdr:txBody>
    </xdr:sp>
    <xdr:clientData/>
  </xdr:oneCellAnchor>
  <xdr:oneCellAnchor>
    <xdr:from>
      <xdr:col>0</xdr:col>
      <xdr:colOff>102895</xdr:colOff>
      <xdr:row>45</xdr:row>
      <xdr:rowOff>169347</xdr:rowOff>
    </xdr:from>
    <xdr:ext cx="2169569" cy="327141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AB74C15D-C02A-4A02-84DD-B99CDAECFF78}"/>
            </a:ext>
          </a:extLst>
        </xdr:cNvPr>
        <xdr:cNvSpPr txBox="1"/>
      </xdr:nvSpPr>
      <xdr:spPr>
        <a:xfrm>
          <a:off x="102895" y="8741847"/>
          <a:ext cx="2169569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3. Problemas do</a:t>
          </a:r>
          <a:r>
            <a:rPr lang="pt-BR" sz="1500" b="1" baseline="0"/>
            <a:t> Negócio</a:t>
          </a:r>
          <a:endParaRPr lang="pt-BR" sz="1500" b="1"/>
        </a:p>
      </xdr:txBody>
    </xdr:sp>
    <xdr:clientData/>
  </xdr:oneCellAnchor>
  <xdr:oneCellAnchor>
    <xdr:from>
      <xdr:col>0</xdr:col>
      <xdr:colOff>215121</xdr:colOff>
      <xdr:row>47</xdr:row>
      <xdr:rowOff>181874</xdr:rowOff>
    </xdr:from>
    <xdr:ext cx="12148329" cy="1783180"/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79AD57C6-179F-4617-A9FA-C1D323C83959}"/>
            </a:ext>
          </a:extLst>
        </xdr:cNvPr>
        <xdr:cNvSpPr txBox="1"/>
      </xdr:nvSpPr>
      <xdr:spPr>
        <a:xfrm>
          <a:off x="215121" y="8975490"/>
          <a:ext cx="12148329" cy="17831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Durante a análise, serão investigadas algumas questões estratégicas relacionadas à</a:t>
          </a:r>
          <a:r>
            <a:rPr lang="pt-BR" sz="1200" baseline="0"/>
            <a:t> gestão financeira e esportiva do clube:</a:t>
          </a:r>
        </a:p>
        <a:p>
          <a:pPr algn="l"/>
          <a:endParaRPr lang="pt-BR" sz="1200" b="0" baseline="0"/>
        </a:p>
        <a:p>
          <a:pPr algn="l"/>
          <a:r>
            <a:rPr lang="pt-BR" sz="1200"/>
            <a:t>• </a:t>
          </a:r>
          <a:r>
            <a:rPr lang="pt-BR" sz="1200" b="1"/>
            <a:t>O Tottenham apresentou lucro ou prejuízo no mercado de transferências</a:t>
          </a:r>
          <a:r>
            <a:rPr lang="pt-BR" sz="1200" b="1" baseline="0"/>
            <a:t> ao longo das temporadas?</a:t>
          </a:r>
        </a:p>
        <a:p>
          <a:pPr algn="l"/>
          <a:r>
            <a:rPr lang="pt-BR" sz="1200"/>
            <a:t>• </a:t>
          </a:r>
          <a:r>
            <a:rPr lang="pt-BR" sz="1200" b="1"/>
            <a:t>Quais</a:t>
          </a:r>
          <a:r>
            <a:rPr lang="pt-BR" sz="1200" b="1" baseline="0"/>
            <a:t> posições receberam maior volume de investimento?</a:t>
          </a:r>
        </a:p>
        <a:p>
          <a:pPr algn="l"/>
          <a:r>
            <a:rPr lang="pt-BR" sz="1200"/>
            <a:t>• </a:t>
          </a:r>
          <a:r>
            <a:rPr lang="pt-BR" sz="1200" b="1"/>
            <a:t>O</a:t>
          </a:r>
          <a:r>
            <a:rPr lang="pt-BR" sz="1200" b="1" baseline="0"/>
            <a:t> clube priorizou jogadores jovens ou atletas mais experientes?</a:t>
          </a:r>
        </a:p>
        <a:p>
          <a:pPr algn="l"/>
          <a:r>
            <a:rPr lang="pt-BR" sz="1200" b="0"/>
            <a:t>•</a:t>
          </a:r>
          <a:r>
            <a:rPr lang="pt-BR" sz="1200" b="1"/>
            <a:t> Existe um perfil de contratação predominante em</a:t>
          </a:r>
          <a:r>
            <a:rPr lang="pt-BR" sz="1200" b="1" baseline="0"/>
            <a:t> relação à nacionalidade dos atletas?</a:t>
          </a:r>
        </a:p>
        <a:p>
          <a:pPr algn="l"/>
          <a:r>
            <a:rPr lang="pt-BR" sz="1200" b="0"/>
            <a:t>•</a:t>
          </a:r>
          <a:r>
            <a:rPr lang="pt-BR" sz="1200" b="1"/>
            <a:t> Qual</a:t>
          </a:r>
          <a:r>
            <a:rPr lang="pt-BR" sz="1200" b="1" baseline="0"/>
            <a:t> posições geraram maior retorno financeiro ao clube?</a:t>
          </a:r>
          <a:endParaRPr lang="pt-BR" sz="1200" b="1"/>
        </a:p>
        <a:p>
          <a:pPr algn="l"/>
          <a:r>
            <a:rPr lang="pt-BR" sz="1200" b="0"/>
            <a:t>•</a:t>
          </a:r>
          <a:r>
            <a:rPr lang="pt-BR" sz="1200" b="1"/>
            <a:t> O perfil</a:t>
          </a:r>
          <a:r>
            <a:rPr lang="pt-BR" sz="1200" b="1" baseline="0"/>
            <a:t> das contratações mudou ao longo das temporadas analisadas?</a:t>
          </a:r>
        </a:p>
        <a:p>
          <a:pPr algn="l"/>
          <a:r>
            <a:rPr lang="pt-BR" sz="1200" b="0"/>
            <a:t>•</a:t>
          </a:r>
          <a:r>
            <a:rPr lang="pt-BR" sz="1200" b="1"/>
            <a:t> Quais negociações representaram maior impacto financeiro para o clube?</a:t>
          </a:r>
          <a:endParaRPr lang="pt-BR" sz="1200" b="1" baseline="0"/>
        </a:p>
      </xdr:txBody>
    </xdr:sp>
    <xdr:clientData/>
  </xdr:oneCellAnchor>
  <xdr:oneCellAnchor>
    <xdr:from>
      <xdr:col>0</xdr:col>
      <xdr:colOff>155690</xdr:colOff>
      <xdr:row>58</xdr:row>
      <xdr:rowOff>131247</xdr:rowOff>
    </xdr:from>
    <xdr:ext cx="1968744" cy="327141"/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C8C0B1B2-3A34-4D73-9A18-CB06CE852679}"/>
            </a:ext>
          </a:extLst>
        </xdr:cNvPr>
        <xdr:cNvSpPr txBox="1"/>
      </xdr:nvSpPr>
      <xdr:spPr>
        <a:xfrm>
          <a:off x="155690" y="11180247"/>
          <a:ext cx="1968744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4. Objetivos</a:t>
          </a:r>
          <a:r>
            <a:rPr lang="pt-BR" sz="1500" b="1" baseline="0"/>
            <a:t> Analíticos</a:t>
          </a:r>
          <a:endParaRPr lang="pt-BR" sz="1500" b="1"/>
        </a:p>
      </xdr:txBody>
    </xdr:sp>
    <xdr:clientData/>
  </xdr:oneCellAnchor>
  <xdr:oneCellAnchor>
    <xdr:from>
      <xdr:col>0</xdr:col>
      <xdr:colOff>157971</xdr:colOff>
      <xdr:row>61</xdr:row>
      <xdr:rowOff>31515</xdr:rowOff>
    </xdr:from>
    <xdr:ext cx="12148329" cy="1783180"/>
    <xdr:sp macro="" textlink="">
      <xdr:nvSpPr>
        <xdr:cNvPr id="15" name="CaixaDeTexto 14">
          <a:extLst>
            <a:ext uri="{FF2B5EF4-FFF2-40B4-BE49-F238E27FC236}">
              <a16:creationId xmlns:a16="http://schemas.microsoft.com/office/drawing/2014/main" id="{C138AC39-12F5-4772-B45A-AF48518A71D9}"/>
            </a:ext>
          </a:extLst>
        </xdr:cNvPr>
        <xdr:cNvSpPr txBox="1"/>
      </xdr:nvSpPr>
      <xdr:spPr>
        <a:xfrm>
          <a:off x="157971" y="11652015"/>
          <a:ext cx="12148329" cy="17831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Para responder às questões propostas,</a:t>
          </a:r>
          <a:r>
            <a:rPr lang="pt-BR" sz="1200" baseline="0"/>
            <a:t> o projeto realizará:</a:t>
          </a:r>
        </a:p>
        <a:p>
          <a:pPr algn="l"/>
          <a:endParaRPr lang="pt-BR" sz="1200" b="0" baseline="0"/>
        </a:p>
        <a:p>
          <a:pPr algn="l"/>
          <a:r>
            <a:rPr lang="pt-BR" sz="1200" b="0"/>
            <a:t>• Limpeza e padronização dos dados;</a:t>
          </a:r>
          <a:endParaRPr lang="pt-BR" sz="1200" b="0" baseline="0"/>
        </a:p>
        <a:p>
          <a:pPr algn="l"/>
          <a:r>
            <a:rPr lang="pt-BR" sz="1200" b="0"/>
            <a:t>• Tratamento de inconsistências e valores ausentes;</a:t>
          </a:r>
          <a:endParaRPr lang="pt-BR" sz="1200" b="0" baseline="0"/>
        </a:p>
        <a:p>
          <a:pPr algn="l"/>
          <a:r>
            <a:rPr lang="pt-BR" sz="1200" b="0"/>
            <a:t>• Conversão e normalização de valores financeiros;</a:t>
          </a:r>
          <a:endParaRPr lang="pt-BR" sz="1200" b="0" baseline="0"/>
        </a:p>
        <a:p>
          <a:pPr algn="l"/>
          <a:r>
            <a:rPr lang="pt-BR" sz="1200" b="0"/>
            <a:t>• Criação de indicadores financeiros;</a:t>
          </a:r>
          <a:endParaRPr lang="pt-BR" sz="1200" b="0" baseline="0"/>
        </a:p>
        <a:p>
          <a:pPr algn="l"/>
          <a:r>
            <a:rPr lang="pt-BR" sz="1200" b="0"/>
            <a:t>• Análise exploratória das transferências;</a:t>
          </a:r>
        </a:p>
        <a:p>
          <a:pPr algn="l"/>
          <a:r>
            <a:rPr lang="pt-BR" sz="1200" b="0"/>
            <a:t>• Construção</a:t>
          </a:r>
          <a:r>
            <a:rPr lang="pt-BR" sz="1200" b="0" baseline="0"/>
            <a:t> de visualizações e dashboards interativos;</a:t>
          </a:r>
        </a:p>
        <a:p>
          <a:pPr algn="l"/>
          <a:r>
            <a:rPr lang="pt-BR" sz="1200" b="0"/>
            <a:t>• Geração de insights financeiros e estratégicos</a:t>
          </a:r>
          <a:endParaRPr lang="pt-BR" sz="1200" b="0" baseline="0"/>
        </a:p>
      </xdr:txBody>
    </xdr:sp>
    <xdr:clientData/>
  </xdr:oneCellAnchor>
  <xdr:oneCellAnchor>
    <xdr:from>
      <xdr:col>0</xdr:col>
      <xdr:colOff>191230</xdr:colOff>
      <xdr:row>71</xdr:row>
      <xdr:rowOff>183202</xdr:rowOff>
    </xdr:from>
    <xdr:ext cx="1782219" cy="327141"/>
    <xdr:sp macro="" textlink="">
      <xdr:nvSpPr>
        <xdr:cNvPr id="16" name="CaixaDeTexto 15">
          <a:extLst>
            <a:ext uri="{FF2B5EF4-FFF2-40B4-BE49-F238E27FC236}">
              <a16:creationId xmlns:a16="http://schemas.microsoft.com/office/drawing/2014/main" id="{3ACB6205-4CFC-421C-9819-82281BA4ECD7}"/>
            </a:ext>
          </a:extLst>
        </xdr:cNvPr>
        <xdr:cNvSpPr txBox="1"/>
      </xdr:nvSpPr>
      <xdr:spPr>
        <a:xfrm>
          <a:off x="191230" y="13503770"/>
          <a:ext cx="1782219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5. Fontes dos Dados</a:t>
          </a:r>
        </a:p>
      </xdr:txBody>
    </xdr:sp>
    <xdr:clientData/>
  </xdr:oneCellAnchor>
  <xdr:oneCellAnchor>
    <xdr:from>
      <xdr:col>0</xdr:col>
      <xdr:colOff>148252</xdr:colOff>
      <xdr:row>74</xdr:row>
      <xdr:rowOff>134541</xdr:rowOff>
    </xdr:from>
    <xdr:ext cx="12148329" cy="280205"/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77602AAC-4522-4B59-8F8C-9398EBE18384}"/>
            </a:ext>
          </a:extLst>
        </xdr:cNvPr>
        <xdr:cNvSpPr txBox="1"/>
      </xdr:nvSpPr>
      <xdr:spPr>
        <a:xfrm>
          <a:off x="148252" y="14519235"/>
          <a:ext cx="1214832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Os dados utilizados neste projeto foram</a:t>
          </a:r>
          <a:r>
            <a:rPr lang="pt-BR" sz="1200" baseline="0"/>
            <a:t> obtidos por meio de plataformas públicas especializadas em futebol e mercado esportivo:</a:t>
          </a:r>
          <a:endParaRPr lang="pt-BR" sz="1200" b="0" baseline="0"/>
        </a:p>
      </xdr:txBody>
    </xdr:sp>
    <xdr:clientData/>
  </xdr:oneCellAnchor>
  <xdr:oneCellAnchor>
    <xdr:from>
      <xdr:col>0</xdr:col>
      <xdr:colOff>184669</xdr:colOff>
      <xdr:row>76</xdr:row>
      <xdr:rowOff>165230</xdr:rowOff>
    </xdr:from>
    <xdr:ext cx="1229760" cy="280205"/>
    <xdr:sp macro="" textlink="">
      <xdr:nvSpPr>
        <xdr:cNvPr id="18" name="CaixaDeTexto 1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430E003-D00A-AF1C-8F35-41DEE617166C}"/>
            </a:ext>
          </a:extLst>
        </xdr:cNvPr>
        <xdr:cNvSpPr txBox="1"/>
      </xdr:nvSpPr>
      <xdr:spPr>
        <a:xfrm>
          <a:off x="184669" y="14938699"/>
          <a:ext cx="1229760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Transfermarkt;</a:t>
          </a:r>
          <a:endParaRPr lang="pt-BR" sz="1200" u="sng">
            <a:effectLst/>
          </a:endParaRPr>
        </a:p>
      </xdr:txBody>
    </xdr:sp>
    <xdr:clientData/>
  </xdr:oneCellAnchor>
  <xdr:oneCellAnchor>
    <xdr:from>
      <xdr:col>0</xdr:col>
      <xdr:colOff>181559</xdr:colOff>
      <xdr:row>78</xdr:row>
      <xdr:rowOff>16327</xdr:rowOff>
    </xdr:from>
    <xdr:ext cx="905376" cy="280205"/>
    <xdr:sp macro="" textlink="">
      <xdr:nvSpPr>
        <xdr:cNvPr id="19" name="CaixaDeTexto 1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390E617-8C79-4F82-B598-BC446ECCA7EA}"/>
            </a:ext>
          </a:extLst>
        </xdr:cNvPr>
        <xdr:cNvSpPr txBox="1"/>
      </xdr:nvSpPr>
      <xdr:spPr>
        <a:xfrm>
          <a:off x="181559" y="15178572"/>
          <a:ext cx="905376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Sofascore</a:t>
          </a:r>
        </a:p>
      </xdr:txBody>
    </xdr:sp>
    <xdr:clientData/>
  </xdr:oneCellAnchor>
  <xdr:oneCellAnchor>
    <xdr:from>
      <xdr:col>0</xdr:col>
      <xdr:colOff>163195</xdr:colOff>
      <xdr:row>80</xdr:row>
      <xdr:rowOff>149331</xdr:rowOff>
    </xdr:from>
    <xdr:ext cx="2363147" cy="327141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CB7CF3C1-5A5B-47AD-B411-E2EA1B874DCC}"/>
            </a:ext>
          </a:extLst>
        </xdr:cNvPr>
        <xdr:cNvSpPr txBox="1"/>
      </xdr:nvSpPr>
      <xdr:spPr>
        <a:xfrm>
          <a:off x="163195" y="15700351"/>
          <a:ext cx="2363147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6. Apresentação do Projeto</a:t>
          </a:r>
        </a:p>
      </xdr:txBody>
    </xdr:sp>
    <xdr:clientData/>
  </xdr:oneCellAnchor>
  <xdr:oneCellAnchor>
    <xdr:from>
      <xdr:col>0</xdr:col>
      <xdr:colOff>97194</xdr:colOff>
      <xdr:row>83</xdr:row>
      <xdr:rowOff>77755</xdr:rowOff>
    </xdr:from>
    <xdr:ext cx="12148329" cy="2534668"/>
    <xdr:sp macro="" textlink="">
      <xdr:nvSpPr>
        <xdr:cNvPr id="20" name="CaixaDeTexto 19">
          <a:extLst>
            <a:ext uri="{FF2B5EF4-FFF2-40B4-BE49-F238E27FC236}">
              <a16:creationId xmlns:a16="http://schemas.microsoft.com/office/drawing/2014/main" id="{79617BDE-CDDA-4EE1-868A-B05F9C3521DB}"/>
            </a:ext>
          </a:extLst>
        </xdr:cNvPr>
        <xdr:cNvSpPr txBox="1"/>
      </xdr:nvSpPr>
      <xdr:spPr>
        <a:xfrm>
          <a:off x="97194" y="15889255"/>
          <a:ext cx="12148329" cy="25346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Este projeto contará</a:t>
          </a:r>
          <a:r>
            <a:rPr lang="pt-BR" sz="1200" baseline="0"/>
            <a:t> com o total de 6 abas, cada uma representando uma etapa diferente. São elas:</a:t>
          </a:r>
          <a:endParaRPr lang="pt-BR" sz="1200" b="0" baseline="0"/>
        </a:p>
        <a:p>
          <a:pPr algn="l"/>
          <a:endParaRPr lang="pt-BR" sz="1200" b="0" baseline="0"/>
        </a:p>
        <a:p>
          <a:pPr algn="l"/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Apresentação: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que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introduz o projeto, citando as motivações por trás da criação do mesmo e quais objetivos pretendem ser alcançados através de sua realização.</a:t>
          </a:r>
        </a:p>
        <a:p>
          <a:pPr algn="l"/>
          <a:endParaRPr lang="pt-BR" sz="1200" b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pt-BR" sz="11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Dados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Brutos: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que contém os dados que serão utilizados no projeto em estado bruto, sem qualquer tipo de tratamento ou formatação.</a:t>
          </a:r>
        </a:p>
        <a:p>
          <a:pPr algn="l"/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Dados Tratados: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os dados limpos e tratados, tendo passado por processos cruciais como verificação de dados ausentes e remoção de duplicatas.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Análises: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as análises que serão feitas baseando-se nas perguntas de negócio que buscam serem respondidas e nos dados tratados.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Dashboard: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o dashboard que será construído através da utilização de métricas importantes obtidas durante o processo das análises.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Anotações: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onde estarão disponíveis alguns de meus pensamentos e justificativas relacionadas a determinadas decisões que tomei durante a construção do projeto.</a:t>
          </a:r>
          <a:endParaRPr lang="pt-BR" sz="1200">
            <a:solidFill>
              <a:srgbClr val="FF0000"/>
            </a:soli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848303</xdr:colOff>
      <xdr:row>0</xdr:row>
      <xdr:rowOff>104775</xdr:rowOff>
    </xdr:from>
    <xdr:ext cx="3234027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54F3D7A2-1728-47AF-B8F2-DC9F84FC265D}"/>
            </a:ext>
          </a:extLst>
        </xdr:cNvPr>
        <xdr:cNvSpPr txBox="1"/>
      </xdr:nvSpPr>
      <xdr:spPr>
        <a:xfrm>
          <a:off x="4925003" y="104775"/>
          <a:ext cx="3234027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Análise</a:t>
          </a:r>
          <a:r>
            <a:rPr lang="pt-BR" sz="2000" b="1" baseline="0"/>
            <a:t> Descritiva dos Dados</a:t>
          </a:r>
          <a:endParaRPr lang="pt-BR" sz="2000" b="1"/>
        </a:p>
      </xdr:txBody>
    </xdr:sp>
    <xdr:clientData/>
  </xdr:oneCellAnchor>
  <xdr:oneCellAnchor>
    <xdr:from>
      <xdr:col>1</xdr:col>
      <xdr:colOff>457200</xdr:colOff>
      <xdr:row>6</xdr:row>
      <xdr:rowOff>142875</xdr:rowOff>
    </xdr:from>
    <xdr:ext cx="4712251" cy="405432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DC6DD0BC-1ECF-4085-86BC-5BBAFA85FFBE}"/>
            </a:ext>
          </a:extLst>
        </xdr:cNvPr>
        <xdr:cNvSpPr txBox="1"/>
      </xdr:nvSpPr>
      <xdr:spPr>
        <a:xfrm>
          <a:off x="1952625" y="1285875"/>
          <a:ext cx="4712251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1. Resultado</a:t>
          </a:r>
          <a:r>
            <a:rPr lang="pt-BR" sz="2000" b="1" baseline="0"/>
            <a:t> Financeiro das Transferências</a:t>
          </a:r>
        </a:p>
      </xdr:txBody>
    </xdr:sp>
    <xdr:clientData/>
  </xdr:oneCellAnchor>
  <xdr:oneCellAnchor>
    <xdr:from>
      <xdr:col>0</xdr:col>
      <xdr:colOff>0</xdr:colOff>
      <xdr:row>8</xdr:row>
      <xdr:rowOff>123168</xdr:rowOff>
    </xdr:from>
    <xdr:ext cx="9271128" cy="311496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DE15D2E5-0951-4C14-906B-6F98227F45DE}"/>
            </a:ext>
          </a:extLst>
        </xdr:cNvPr>
        <xdr:cNvSpPr txBox="1"/>
      </xdr:nvSpPr>
      <xdr:spPr>
        <a:xfrm>
          <a:off x="0" y="1647168"/>
          <a:ext cx="9271128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Pergunta de Negócio: </a:t>
          </a:r>
          <a:r>
            <a:rPr lang="pt-BR" sz="1400" b="0" i="1"/>
            <a:t>O Tottenham apresentou lucro ou prejuízo no mercado de transferências ao longo das temporadas?</a:t>
          </a:r>
        </a:p>
      </xdr:txBody>
    </xdr:sp>
    <xdr:clientData/>
  </xdr:oneCellAnchor>
  <xdr:oneCellAnchor>
    <xdr:from>
      <xdr:col>0</xdr:col>
      <xdr:colOff>118502</xdr:colOff>
      <xdr:row>10</xdr:row>
      <xdr:rowOff>139043</xdr:rowOff>
    </xdr:from>
    <xdr:ext cx="818815" cy="311496"/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2B8224E1-89DA-44EA-BE9A-82CB0A9D9572}"/>
            </a:ext>
          </a:extLst>
        </xdr:cNvPr>
        <xdr:cNvSpPr txBox="1"/>
      </xdr:nvSpPr>
      <xdr:spPr>
        <a:xfrm>
          <a:off x="118502" y="2024199"/>
          <a:ext cx="818815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Análise: </a:t>
          </a:r>
          <a:endParaRPr lang="pt-BR" sz="1400" b="0" i="1"/>
        </a:p>
      </xdr:txBody>
    </xdr:sp>
    <xdr:clientData/>
  </xdr:oneCellAnchor>
  <xdr:twoCellAnchor>
    <xdr:from>
      <xdr:col>0</xdr:col>
      <xdr:colOff>635046</xdr:colOff>
      <xdr:row>22</xdr:row>
      <xdr:rowOff>183890</xdr:rowOff>
    </xdr:from>
    <xdr:to>
      <xdr:col>6</xdr:col>
      <xdr:colOff>1335200</xdr:colOff>
      <xdr:row>46</xdr:row>
      <xdr:rowOff>8504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6F10C5D-81A9-1C04-2DE6-3DCBEE703D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644922</xdr:colOff>
      <xdr:row>47</xdr:row>
      <xdr:rowOff>7542</xdr:rowOff>
    </xdr:from>
    <xdr:to>
      <xdr:col>6</xdr:col>
      <xdr:colOff>1379141</xdr:colOff>
      <xdr:row>70</xdr:row>
      <xdr:rowOff>168672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7FDB2B2-AA8A-09CD-E88C-108D88C173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113183</xdr:colOff>
      <xdr:row>71</xdr:row>
      <xdr:rowOff>138636</xdr:rowOff>
    </xdr:from>
    <xdr:ext cx="1781963" cy="311496"/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4198BE4D-298A-4180-AF5F-0EC58BFA5784}"/>
            </a:ext>
          </a:extLst>
        </xdr:cNvPr>
        <xdr:cNvSpPr txBox="1"/>
      </xdr:nvSpPr>
      <xdr:spPr>
        <a:xfrm>
          <a:off x="113183" y="13940167"/>
          <a:ext cx="1781963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Conclusão</a:t>
          </a:r>
          <a:r>
            <a:rPr lang="pt-BR" sz="1400" b="1" i="0" baseline="0"/>
            <a:t> e Insights</a:t>
          </a:r>
          <a:r>
            <a:rPr lang="pt-BR" sz="1400" b="1" i="0"/>
            <a:t>: </a:t>
          </a:r>
          <a:endParaRPr lang="pt-BR" sz="1400" b="0" i="1"/>
        </a:p>
      </xdr:txBody>
    </xdr:sp>
    <xdr:clientData/>
  </xdr:oneCellAnchor>
  <xdr:oneCellAnchor>
    <xdr:from>
      <xdr:col>0</xdr:col>
      <xdr:colOff>28575</xdr:colOff>
      <xdr:row>73</xdr:row>
      <xdr:rowOff>113860</xdr:rowOff>
    </xdr:from>
    <xdr:ext cx="10458504" cy="2722284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6E667475-6A3D-452C-91E0-F7E4682A1787}"/>
            </a:ext>
          </a:extLst>
        </xdr:cNvPr>
        <xdr:cNvSpPr txBox="1"/>
      </xdr:nvSpPr>
      <xdr:spPr>
        <a:xfrm>
          <a:off x="28575" y="14020360"/>
          <a:ext cx="10458504" cy="27222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0" i="0"/>
            <a:t>A</a:t>
          </a:r>
          <a:r>
            <a:rPr lang="pt-BR" sz="1400" b="0" i="0" baseline="0"/>
            <a:t> análise financeira baseada nas movimentações do Tottenham Hotspur entre as temporadas 2019/20 e 2024/25 demonstrou que</a:t>
          </a:r>
          <a:br>
            <a:rPr lang="pt-BR" sz="1400" b="0" i="0" baseline="0"/>
          </a:br>
          <a:r>
            <a:rPr lang="pt-BR" sz="1400" b="0" i="0" baseline="0"/>
            <a:t>o clube manteve uma forte postura no que diz respeito à aquisição de atletas, chegando a investir cerca de </a:t>
          </a:r>
          <a:r>
            <a:rPr lang="pt-BR" sz="1400"/>
            <a:t>£553.2m</a:t>
          </a:r>
          <a:r>
            <a:rPr lang="pt-BR" sz="1400" baseline="0"/>
            <a:t> durante todo o período.</a:t>
          </a:r>
          <a:br>
            <a:rPr lang="pt-BR" sz="1400" baseline="0"/>
          </a:br>
          <a:r>
            <a:rPr lang="pt-BR" sz="1400" baseline="0"/>
            <a:t>Em contrapartida, também conseguimos perceber que o clube gerou menos da metade deste valor com a saída de seus ativos, reunindo um</a:t>
          </a:r>
          <a:br>
            <a:rPr lang="pt-BR" sz="1400" baseline="0"/>
          </a:br>
          <a:r>
            <a:rPr lang="pt-BR" sz="1400" baseline="0"/>
            <a:t>total de </a:t>
          </a:r>
          <a:r>
            <a:rPr lang="pt-BR" sz="1400"/>
            <a:t>£179.8m.</a:t>
          </a:r>
        </a:p>
        <a:p>
          <a:pPr algn="ctr"/>
          <a:endParaRPr lang="pt-BR" sz="1400" b="0" i="0"/>
        </a:p>
        <a:p>
          <a:pPr algn="ctr"/>
          <a:r>
            <a:rPr lang="pt-BR" sz="1400" b="0" i="0"/>
            <a:t>Outro</a:t>
          </a:r>
          <a:r>
            <a:rPr lang="pt-BR" sz="1400" b="0" i="0" baseline="0"/>
            <a:t> ponto chamativo foi o déficit acumulado pelo clube, chegando aos </a:t>
          </a:r>
          <a: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£373.4m em 2024/25</a:t>
          </a:r>
          <a:r>
            <a:rPr lang="pt-BR" sz="1400" b="0" i="0" baseline="0"/>
            <a:t>. O ápice do fenômeno ocorreu</a:t>
          </a:r>
        </a:p>
        <a:p>
          <a:pPr algn="ctr"/>
          <a:r>
            <a:rPr lang="pt-BR" sz="1400" b="0" i="0" baseline="0"/>
            <a:t> justamente no último período analisado, onde o valor esteve na marca de </a:t>
          </a:r>
          <a: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£92.5m. Curiosamente, este número surgiu após uma</a:t>
          </a:r>
          <a:b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decrescente constante</a:t>
          </a:r>
          <a:r>
            <a:rPr lang="pt-BR" sz="14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cinco temporadas consecutivas, o que pode indicar um possível desejo de reforçar o plantel de jogadores com</a:t>
          </a:r>
          <a:br>
            <a:rPr lang="pt-BR" sz="14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pt-BR" sz="14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contratações pontuais e de extrema necessidade naquele momento.</a:t>
          </a:r>
        </a:p>
        <a:p>
          <a:pPr algn="ctr"/>
          <a:endParaRPr lang="pt-BR" sz="1400" b="0" i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pt-BR" sz="14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Em resumo, o Tottenham Hotspur sofreu prejuízo no mercado de transferências ao longo das temporadas analisadas pois, em cada uma,</a:t>
          </a:r>
          <a:br>
            <a:rPr lang="pt-BR" sz="14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pt-BR" sz="14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investiu mais que arrecadou.</a:t>
          </a:r>
          <a:endParaRPr lang="pt-BR" sz="1400" b="0" i="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399871</xdr:colOff>
      <xdr:row>0</xdr:row>
      <xdr:rowOff>180975</xdr:rowOff>
    </xdr:from>
    <xdr:ext cx="5387822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812E5036-04FC-4BC0-83EE-297A7A4557B8}"/>
            </a:ext>
          </a:extLst>
        </xdr:cNvPr>
        <xdr:cNvSpPr txBox="1"/>
      </xdr:nvSpPr>
      <xdr:spPr>
        <a:xfrm>
          <a:off x="3447871" y="180975"/>
          <a:ext cx="5387822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Justificativas Relacionadas a Tomada de Decisão:</a:t>
          </a:r>
        </a:p>
      </xdr:txBody>
    </xdr:sp>
    <xdr:clientData/>
  </xdr:oneCellAnchor>
  <xdr:oneCellAnchor>
    <xdr:from>
      <xdr:col>0</xdr:col>
      <xdr:colOff>176774</xdr:colOff>
      <xdr:row>3</xdr:row>
      <xdr:rowOff>38100</xdr:rowOff>
    </xdr:from>
    <xdr:ext cx="3130665" cy="327141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55FA4AB0-D5EC-4E90-BACB-B6E12496CCD7}"/>
            </a:ext>
          </a:extLst>
        </xdr:cNvPr>
        <xdr:cNvSpPr txBox="1"/>
      </xdr:nvSpPr>
      <xdr:spPr>
        <a:xfrm>
          <a:off x="176774" y="609600"/>
          <a:ext cx="3130665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1. Tratamento</a:t>
          </a:r>
          <a:r>
            <a:rPr lang="pt-BR" sz="1500" b="1" baseline="0"/>
            <a:t> e Limpeza dos Dados: </a:t>
          </a:r>
          <a:endParaRPr lang="pt-BR" sz="1500" b="1"/>
        </a:p>
      </xdr:txBody>
    </xdr:sp>
    <xdr:clientData/>
  </xdr:oneCellAnchor>
  <xdr:oneCellAnchor>
    <xdr:from>
      <xdr:col>0</xdr:col>
      <xdr:colOff>190500</xdr:colOff>
      <xdr:row>5</xdr:row>
      <xdr:rowOff>95250</xdr:rowOff>
    </xdr:from>
    <xdr:ext cx="12148329" cy="6292107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B428225A-2FC9-412C-A6D7-F38CEB808060}"/>
            </a:ext>
          </a:extLst>
        </xdr:cNvPr>
        <xdr:cNvSpPr txBox="1"/>
      </xdr:nvSpPr>
      <xdr:spPr>
        <a:xfrm>
          <a:off x="190500" y="1047750"/>
          <a:ext cx="12148329" cy="629210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Em</a:t>
          </a:r>
          <a:r>
            <a:rPr lang="pt-BR" sz="1200" baseline="0"/>
            <a:t> meio ao processo de construção do projeto, temos diversos momentos em que precisamos tomar decisões importantes para que possamos seguir em frente. Neste caso, discorreremos sobre alguns deles durante o tratamento e a limpeza dos dados:</a:t>
          </a:r>
        </a:p>
        <a:p>
          <a:pPr algn="l"/>
          <a:endParaRPr lang="pt-BR" sz="1200" b="0" baseline="0"/>
        </a:p>
        <a:p>
          <a:pPr algn="l"/>
          <a:r>
            <a:rPr lang="pt-BR" sz="1200"/>
            <a:t>• Na 24ª linha da</a:t>
          </a:r>
          <a:r>
            <a:rPr lang="pt-BR" sz="1200" baseline="0"/>
            <a:t> planilha, foi identificada uma duplicação de cabeçalho, onde os nomes das colunas acabaram sendo introduzidos nos campos de valores da planilha. A decisão tomada nesta ocasião foi excluir a linha, visto que a mesma não possuía dados relevantes.</a:t>
          </a:r>
        </a:p>
        <a:p>
          <a:pPr algn="l"/>
          <a:r>
            <a:rPr lang="pt-BR" sz="1200"/>
            <a:t> </a:t>
          </a:r>
        </a:p>
        <a:p>
          <a:pPr algn="l"/>
          <a:r>
            <a:rPr lang="pt-BR" sz="1200"/>
            <a:t>• Na coluna </a:t>
          </a:r>
          <a:r>
            <a:rPr lang="pt-BR" sz="1200" b="1"/>
            <a:t>'temporada'</a:t>
          </a:r>
          <a:r>
            <a:rPr lang="pt-BR" sz="1200" b="0"/>
            <a:t>, </a:t>
          </a:r>
          <a:r>
            <a:rPr lang="pt-BR" sz="1200" b="0" baseline="0"/>
            <a:t>todos os dados que não seguiam o padrão (YYYY/YY) foram formatados para que fossem apresentados desta maneira. Foi utilizada a ferramenta Localizar e Selecionar para substituir ocorrências onde o sinal de traço - estava presente ao invés do sinal de barra /.</a:t>
          </a:r>
        </a:p>
        <a:p>
          <a:pPr algn="l"/>
          <a:endParaRPr lang="pt-BR" sz="1200" b="0" baseline="0"/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'tipo_movimentação'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existem apenas dois valores: Entrada ou Saída. Contudo, haviam ocorrências de valores semelhantes escritos de formas diferentes, como ENTRADA e saida, por exemplo. Em vista disso, foi criada uma nova coluna com o mesmo nome porém com a formatação de todos os valores com a fórmula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=PRI.MAIÚSCULA()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para padronizar com a primeira letra maiúscula. Além disso, houveram a presença de dados ausentes. Como a base de dados não é tão grande, a decisão tomada foi pesquisar e incluir os dados faltantes na planilha.</a:t>
          </a:r>
        </a:p>
        <a:p>
          <a:pPr algn="l"/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 coluna </a:t>
          </a:r>
          <a:r>
            <a:rPr lang="pt-BR" sz="12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'nome_jogador'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apresentou inconsistências como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falta de acentos e traços em nomes de determinados jogadores e elas foram resolvidas à mão. Analisando a variável, também conseguimos identificar a presença de um valor duplicado no caso do jogador Harry Kane e tratamos de excluí-lo com o auxílio da ferramenta Remover Duplicatas. Novamente, utilizamos a fórmula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=PRI.MAIÚSCULA()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para formatar corretamente o texto.</a:t>
          </a:r>
          <a:endParaRPr lang="pt-BR" sz="1200" b="0"/>
        </a:p>
        <a:p>
          <a:pPr algn="l"/>
          <a:endParaRPr lang="pt-BR" sz="1200"/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'posição'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foi identificada a presença de diversas posições distribuídas inconsistentemente. Em busca de padronizar os valores desta coluna, os mesmos foram modificados para que seguissem uma de três categorias: Defensor, Meio-campista ou Atacante. Desta forma, eles estarão em melhor estado quando as análises forem realizadas.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200"/>
            <a:t>• Semelhantemente</a:t>
          </a:r>
          <a:r>
            <a:rPr lang="pt-BR" sz="1200" baseline="0"/>
            <a:t> às outras colunas, </a:t>
          </a:r>
          <a:r>
            <a:rPr lang="pt-BR" sz="1200" b="1" baseline="0"/>
            <a:t>'nacionalidade'</a:t>
          </a:r>
          <a:r>
            <a:rPr lang="pt-BR" sz="1200" b="0" baseline="0"/>
            <a:t> também apresentou registros inconsistentes quanto a formatação de letras maiúsculas, minúsculas e espaços desnecessários. Ambos os problemas foram resolvidos através da combinação das fórmulas </a:t>
          </a:r>
          <a:r>
            <a:rPr lang="pt-BR" sz="1200" b="1" baseline="0"/>
            <a:t>=ARRUMAR() </a:t>
          </a:r>
          <a:r>
            <a:rPr lang="pt-BR" sz="1200" b="0" baseline="0"/>
            <a:t>e </a:t>
          </a:r>
          <a:r>
            <a:rPr lang="pt-BR" sz="1200" b="1" baseline="0"/>
            <a:t>=PRI.MAIÚSCULA()</a:t>
          </a:r>
          <a:r>
            <a:rPr lang="pt-BR" sz="1200" b="0" baseline="0"/>
            <a:t>.</a:t>
          </a:r>
        </a:p>
        <a:p>
          <a:pPr algn="l"/>
          <a:endParaRPr lang="pt-BR" sz="1200"/>
        </a:p>
        <a:p>
          <a:pPr algn="l"/>
          <a:r>
            <a:rPr lang="pt-BR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Em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'clube'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apenas pequenas correções relacionadas aos nomes dos clubes foram realizadas.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'valor_transferencia'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foi possível identificar diversas inconsistências. Primeiramente, os dados estavam disponibilizados em formatos monetários diferentes (por exemplo, 35M e 45.000.000 na mesma coluna), o que nos levou a modificar cada um dos registros manualmente. Esta decisão foi tomada considerando, principalmente, o tamanho da base de dados. Caso a mesma fosse maior, seria necessária outra abordagem. Em seguida, formatamos os valores como Número e para Moeda. Alguns jogadores estão com instâncias onde o 0 está presente, o que indica que sua entrada/saída não custou dinheiro ao clube.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200" b="0"/>
            <a:t>•</a:t>
          </a:r>
          <a:r>
            <a:rPr lang="pt-BR" sz="1200" b="1"/>
            <a:t> </a:t>
          </a:r>
          <a:r>
            <a:rPr lang="pt-BR" sz="1200" b="0"/>
            <a:t>Em</a:t>
          </a:r>
          <a:r>
            <a:rPr lang="pt-BR" sz="1200" b="0" baseline="0"/>
            <a:t> relação à coluna </a:t>
          </a:r>
          <a:r>
            <a:rPr lang="pt-BR" sz="1200" b="1" baseline="0"/>
            <a:t>'idade'</a:t>
          </a:r>
          <a:r>
            <a:rPr lang="pt-BR" sz="1200" b="0" baseline="0"/>
            <a:t>, foi necessário formatá-la inteiramente como Número para que seus valores assumissem o tipo correto.</a:t>
          </a:r>
        </a:p>
        <a:p>
          <a:pPr algn="l"/>
          <a:endParaRPr lang="pt-BR" sz="1200" b="0" baseline="0"/>
        </a:p>
        <a:p>
          <a:pPr algn="l"/>
          <a:r>
            <a:rPr lang="pt-BR" sz="1200" b="0"/>
            <a:t>•</a:t>
          </a:r>
          <a:r>
            <a:rPr lang="pt-BR" sz="1200" b="1"/>
            <a:t> </a:t>
          </a:r>
          <a:r>
            <a:rPr lang="pt-BR" sz="1200" b="0"/>
            <a:t>Na</a:t>
          </a:r>
          <a:r>
            <a:rPr lang="pt-BR" sz="1200" b="0" baseline="0"/>
            <a:t> coluna </a:t>
          </a:r>
          <a:r>
            <a:rPr lang="pt-BR" sz="1200" b="1" baseline="0"/>
            <a:t>'tipo_negociacao'</a:t>
          </a:r>
          <a:r>
            <a:rPr lang="pt-BR" sz="1200" b="0" baseline="0"/>
            <a:t>, foram utilizadas as fórmulas </a:t>
          </a:r>
          <a:r>
            <a:rPr lang="pt-BR" sz="1200" b="1" baseline="0"/>
            <a:t>=ARRUMAR()</a:t>
          </a:r>
          <a:r>
            <a:rPr lang="pt-BR" sz="1200" b="0" baseline="0"/>
            <a:t> e </a:t>
          </a:r>
          <a:r>
            <a:rPr lang="pt-BR" sz="1200" b="1" baseline="0"/>
            <a:t>=PRI.MAIÚSCULA() </a:t>
          </a:r>
          <a:r>
            <a:rPr lang="pt-BR" sz="1200" b="0" baseline="0"/>
            <a:t>para formatarmos os valores.</a:t>
          </a:r>
          <a:endParaRPr lang="pt-BR" sz="1200" b="0"/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ike Mendes" refreshedDate="46181.843427199077" createdVersion="8" refreshedVersion="8" minRefreshableVersion="3" recordCount="22" xr:uid="{11AE0983-117D-40C8-AD52-16F3B61A0005}">
  <cacheSource type="worksheet">
    <worksheetSource ref="A2:I24" sheet="Dados Tratados"/>
  </cacheSource>
  <cacheFields count="9">
    <cacheField name="temporada" numFmtId="0">
      <sharedItems count="6">
        <s v="2019/20"/>
        <s v="2020/21"/>
        <s v="2021/22"/>
        <s v="2022/23"/>
        <s v="2023/24"/>
        <s v="2024/25"/>
      </sharedItems>
    </cacheField>
    <cacheField name="tipo_movimentação" numFmtId="0">
      <sharedItems count="2">
        <s v="Entrada"/>
        <s v="Saída"/>
      </sharedItems>
    </cacheField>
    <cacheField name="nome_jogador" numFmtId="0">
      <sharedItems/>
    </cacheField>
    <cacheField name="posição" numFmtId="0">
      <sharedItems/>
    </cacheField>
    <cacheField name="nacionalidade" numFmtId="0">
      <sharedItems/>
    </cacheField>
    <cacheField name="clube" numFmtId="0">
      <sharedItems/>
    </cacheField>
    <cacheField name="valor_transferência" numFmtId="164">
      <sharedItems containsSemiMixedTypes="0" containsString="0" containsNumber="1" containsInteger="1" minValue="0" maxValue="95000000"/>
    </cacheField>
    <cacheField name="idade" numFmtId="1">
      <sharedItems containsSemiMixedTypes="0" containsString="0" containsNumber="1" containsInteger="1" minValue="18" maxValue="33"/>
    </cacheField>
    <cacheField name="tipo_negoci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x v="0"/>
    <s v="Tanguy Ndombélé"/>
    <s v="Meio-campista"/>
    <s v="França"/>
    <s v="Lyon"/>
    <n v="62000000"/>
    <n v="22"/>
    <s v="Compra"/>
  </r>
  <r>
    <x v="0"/>
    <x v="0"/>
    <s v="Steven Bergwijn"/>
    <s v="Atacante"/>
    <s v="Holanda"/>
    <s v="PSV Eindhoven"/>
    <n v="30000000"/>
    <n v="22"/>
    <s v="Compra"/>
  </r>
  <r>
    <x v="0"/>
    <x v="1"/>
    <s v="Christian Eriksen"/>
    <s v="Meio-campista"/>
    <s v="Dinamarca"/>
    <s v="Inter Milan"/>
    <n v="27000000"/>
    <n v="27"/>
    <s v="Venda"/>
  </r>
  <r>
    <x v="1"/>
    <x v="0"/>
    <s v="Pierre-Emile Højbjerg"/>
    <s v="Meio-campista"/>
    <s v="Dinamarca"/>
    <s v="Southampton"/>
    <n v="16600000"/>
    <n v="25"/>
    <s v="Compra"/>
  </r>
  <r>
    <x v="1"/>
    <x v="0"/>
    <s v="Sergio Reguilón"/>
    <s v="Defensor"/>
    <s v="Espanha"/>
    <s v="Real Madrid"/>
    <n v="30000000"/>
    <n v="23"/>
    <s v="Compra"/>
  </r>
  <r>
    <x v="1"/>
    <x v="1"/>
    <s v="Jan Vertonghen"/>
    <s v="Defensor"/>
    <s v="Bélgica"/>
    <s v="Benfica"/>
    <n v="0"/>
    <n v="33"/>
    <s v="Livre"/>
  </r>
  <r>
    <x v="1"/>
    <x v="0"/>
    <s v="Matt Doherty"/>
    <s v="Defensor"/>
    <s v="Irlanda"/>
    <s v="Wolves"/>
    <n v="16800000"/>
    <n v="28"/>
    <s v="Compra"/>
  </r>
  <r>
    <x v="2"/>
    <x v="0"/>
    <s v="Cristian Romero"/>
    <s v="Defensor"/>
    <s v="Argentina"/>
    <s v="Atalanta"/>
    <n v="52000000"/>
    <n v="23"/>
    <s v="Compra"/>
  </r>
  <r>
    <x v="2"/>
    <x v="0"/>
    <s v="Dejan Kulusevski"/>
    <s v="Atacante"/>
    <s v="Suécia"/>
    <s v="Juventus"/>
    <n v="0"/>
    <n v="21"/>
    <s v="Empréstimo"/>
  </r>
  <r>
    <x v="2"/>
    <x v="1"/>
    <s v="Toby Alderweireld"/>
    <s v="Defensor"/>
    <s v="Bélgica"/>
    <s v="Al Duhail"/>
    <n v="13000000"/>
    <n v="32"/>
    <s v="Venda"/>
  </r>
  <r>
    <x v="2"/>
    <x v="0"/>
    <s v="Rodrigo Bentancur"/>
    <s v="Meio-campista"/>
    <s v="Uruguai"/>
    <s v="Juventus"/>
    <n v="19000000"/>
    <n v="24"/>
    <s v="Compra"/>
  </r>
  <r>
    <x v="3"/>
    <x v="0"/>
    <s v="Richarlison"/>
    <s v="Atacante"/>
    <s v="Brasil"/>
    <s v="Everton"/>
    <n v="58000000"/>
    <n v="25"/>
    <s v="Compra"/>
  </r>
  <r>
    <x v="3"/>
    <x v="0"/>
    <s v="Yves Bissouma"/>
    <s v="Meio-campista"/>
    <s v="Mali"/>
    <s v="Brighton"/>
    <n v="29000000"/>
    <n v="25"/>
    <s v="Compra"/>
  </r>
  <r>
    <x v="3"/>
    <x v="1"/>
    <s v="Steven Bergwijn"/>
    <s v="Atacante"/>
    <s v="Holanda"/>
    <s v="Ajax"/>
    <n v="31300000"/>
    <n v="24"/>
    <s v="Venda"/>
  </r>
  <r>
    <x v="3"/>
    <x v="0"/>
    <s v="Ivan Perišić"/>
    <s v="Atacante"/>
    <s v="Croácia"/>
    <s v="Inter Milan"/>
    <n v="0"/>
    <n v="33"/>
    <s v="Livre"/>
  </r>
  <r>
    <x v="4"/>
    <x v="0"/>
    <s v="James Maddison"/>
    <s v="Meio-campista"/>
    <s v="Inglaterra"/>
    <s v="Leicester City"/>
    <n v="46300000"/>
    <n v="26"/>
    <s v="Compra"/>
  </r>
  <r>
    <x v="4"/>
    <x v="0"/>
    <s v="Micky van de Ven"/>
    <s v="Defensor"/>
    <s v="Holanda"/>
    <s v="Wolfsburg"/>
    <n v="40000000"/>
    <n v="22"/>
    <s v="Compra"/>
  </r>
  <r>
    <x v="4"/>
    <x v="1"/>
    <s v="Harry Kane"/>
    <s v="Atacante"/>
    <s v="Inglaterra"/>
    <s v="Bayern München"/>
    <n v="95000000"/>
    <n v="30"/>
    <s v="Venda"/>
  </r>
  <r>
    <x v="4"/>
    <x v="0"/>
    <s v="Brennan Johnson"/>
    <s v="Atacante"/>
    <s v="País De Gales"/>
    <s v="Nottingham Forest"/>
    <n v="47500000"/>
    <n v="22"/>
    <s v="Compra"/>
  </r>
  <r>
    <x v="5"/>
    <x v="0"/>
    <s v="Dominic Solanke"/>
    <s v="Atacante"/>
    <s v="Inglaterra"/>
    <s v="Bournemouth"/>
    <n v="65000000"/>
    <n v="26"/>
    <s v="Compra"/>
  </r>
  <r>
    <x v="5"/>
    <x v="0"/>
    <s v="Archie Gray"/>
    <s v="Meio-campista"/>
    <s v="Inglaterra"/>
    <s v="Leeds United"/>
    <n v="41000000"/>
    <n v="18"/>
    <s v="Compra"/>
  </r>
  <r>
    <x v="5"/>
    <x v="1"/>
    <s v="Pierre-Emile Højbjerg"/>
    <s v="Meio-campista"/>
    <s v="Dinamarca"/>
    <s v="Olympique Marseille"/>
    <n v="13500000"/>
    <n v="29"/>
    <s v="Vend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F863BA-AE4A-4439-B2F0-5F549C05D0F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rowHeaderCaption="Temporadas" colHeaderCaption="">
  <location ref="A14:D22" firstHeaderRow="1" firstDataRow="2" firstDataCol="1"/>
  <pivotFields count="9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numFmtId="164" showAll="0"/>
    <pivotField numFmtI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omas de Entradas e Saídas" fld="6" baseField="0" baseItem="0" numFmtId="164"/>
  </dataFields>
  <formats count="6">
    <format dxfId="5">
      <pivotArea collapsedLevelsAreSubtotals="1" fieldPosition="0">
        <references count="1">
          <reference field="0" count="0"/>
        </references>
      </pivotArea>
    </format>
    <format dxfId="4">
      <pivotArea field="0" type="button" dataOnly="0" labelOnly="1" outline="0" axis="axisRow" fieldPosition="0"/>
    </format>
    <format dxfId="3">
      <pivotArea dataOnly="0" labelOnly="1" fieldPosition="0">
        <references count="1">
          <reference field="0" count="0"/>
        </references>
      </pivotArea>
    </format>
    <format dxfId="2">
      <pivotArea dataOnly="0" labelOnly="1" fieldPosition="0">
        <references count="1">
          <reference field="1" count="0"/>
        </references>
      </pivotArea>
    </format>
    <format dxfId="1">
      <pivotArea dataOnly="0" labelOnly="1" grandCol="1" outline="0" fieldPosition="0"/>
    </format>
    <format dxfId="0">
      <pivotArea grandRow="1"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646EF-D473-4C83-8D4E-81DAA494C7E8}">
  <sheetPr>
    <tabColor theme="6" tint="0.79998168889431442"/>
  </sheetPr>
  <dimension ref="A1"/>
  <sheetViews>
    <sheetView showGridLines="0" topLeftCell="A44" zoomScaleNormal="100" workbookViewId="0">
      <selection activeCell="G47" sqref="G4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59999389629810485"/>
  </sheetPr>
  <dimension ref="A1:I25"/>
  <sheetViews>
    <sheetView workbookViewId="0">
      <selection activeCell="N9" sqref="N9"/>
    </sheetView>
  </sheetViews>
  <sheetFormatPr defaultRowHeight="15" x14ac:dyDescent="0.25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>
        <v>22</v>
      </c>
      <c r="I2" t="s">
        <v>16</v>
      </c>
    </row>
    <row r="3" spans="1:9" x14ac:dyDescent="0.25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24</v>
      </c>
      <c r="I3" t="s">
        <v>25</v>
      </c>
    </row>
    <row r="4" spans="1:9" x14ac:dyDescent="0.25">
      <c r="A4" t="s">
        <v>26</v>
      </c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32</v>
      </c>
      <c r="H4">
        <v>27</v>
      </c>
      <c r="I4" t="s">
        <v>33</v>
      </c>
    </row>
    <row r="5" spans="1:9" x14ac:dyDescent="0.25">
      <c r="A5" t="s">
        <v>34</v>
      </c>
      <c r="B5" t="s">
        <v>18</v>
      </c>
      <c r="C5" t="s">
        <v>35</v>
      </c>
      <c r="D5" t="s">
        <v>36</v>
      </c>
      <c r="E5" t="s">
        <v>37</v>
      </c>
      <c r="F5" t="s">
        <v>38</v>
      </c>
      <c r="G5" t="s">
        <v>39</v>
      </c>
      <c r="H5">
        <v>25</v>
      </c>
      <c r="I5" t="s">
        <v>40</v>
      </c>
    </row>
    <row r="6" spans="1:9" x14ac:dyDescent="0.25">
      <c r="A6" t="s">
        <v>41</v>
      </c>
      <c r="B6" t="s">
        <v>10</v>
      </c>
      <c r="C6" t="s">
        <v>42</v>
      </c>
      <c r="D6" t="s">
        <v>43</v>
      </c>
      <c r="E6" t="s">
        <v>44</v>
      </c>
      <c r="F6" t="s">
        <v>45</v>
      </c>
      <c r="G6" t="s">
        <v>46</v>
      </c>
      <c r="H6" t="s">
        <v>47</v>
      </c>
      <c r="I6" t="s">
        <v>16</v>
      </c>
    </row>
    <row r="7" spans="1:9" x14ac:dyDescent="0.25">
      <c r="A7" t="s">
        <v>34</v>
      </c>
      <c r="B7" t="s">
        <v>48</v>
      </c>
      <c r="C7" t="s">
        <v>49</v>
      </c>
      <c r="D7" t="s">
        <v>50</v>
      </c>
      <c r="E7" t="s">
        <v>51</v>
      </c>
      <c r="F7" t="s">
        <v>52</v>
      </c>
      <c r="G7" t="s">
        <v>53</v>
      </c>
      <c r="H7">
        <v>33</v>
      </c>
      <c r="I7" t="s">
        <v>54</v>
      </c>
    </row>
    <row r="8" spans="1:9" x14ac:dyDescent="0.25">
      <c r="A8" t="s">
        <v>55</v>
      </c>
      <c r="B8" t="s">
        <v>18</v>
      </c>
      <c r="C8" t="s">
        <v>56</v>
      </c>
      <c r="D8" t="s">
        <v>57</v>
      </c>
      <c r="E8" t="s">
        <v>58</v>
      </c>
      <c r="F8" t="s">
        <v>59</v>
      </c>
      <c r="G8" t="s">
        <v>60</v>
      </c>
      <c r="H8">
        <v>23</v>
      </c>
      <c r="I8" t="s">
        <v>16</v>
      </c>
    </row>
    <row r="9" spans="1:9" x14ac:dyDescent="0.25">
      <c r="A9" t="s">
        <v>61</v>
      </c>
      <c r="B9" t="s">
        <v>10</v>
      </c>
      <c r="C9" t="s">
        <v>62</v>
      </c>
      <c r="D9" t="s">
        <v>63</v>
      </c>
      <c r="E9" t="s">
        <v>64</v>
      </c>
      <c r="F9" t="s">
        <v>65</v>
      </c>
      <c r="G9" t="s">
        <v>66</v>
      </c>
      <c r="H9">
        <v>21</v>
      </c>
      <c r="I9" t="s">
        <v>67</v>
      </c>
    </row>
    <row r="10" spans="1:9" x14ac:dyDescent="0.25">
      <c r="A10" t="s">
        <v>55</v>
      </c>
      <c r="B10" t="s">
        <v>68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>
        <v>32</v>
      </c>
      <c r="I10" t="s">
        <v>74</v>
      </c>
    </row>
    <row r="11" spans="1:9" x14ac:dyDescent="0.25">
      <c r="A11" t="s">
        <v>75</v>
      </c>
      <c r="B11" t="s">
        <v>18</v>
      </c>
      <c r="C11" t="s">
        <v>76</v>
      </c>
      <c r="D11" t="s">
        <v>77</v>
      </c>
      <c r="E11" t="s">
        <v>78</v>
      </c>
      <c r="F11" t="s">
        <v>79</v>
      </c>
      <c r="G11" t="s">
        <v>80</v>
      </c>
      <c r="H11">
        <v>25</v>
      </c>
      <c r="I11" t="s">
        <v>16</v>
      </c>
    </row>
    <row r="12" spans="1:9" x14ac:dyDescent="0.25">
      <c r="A12" t="s">
        <v>81</v>
      </c>
      <c r="B12" t="s">
        <v>18</v>
      </c>
      <c r="C12" t="s">
        <v>82</v>
      </c>
      <c r="D12" t="s">
        <v>83</v>
      </c>
      <c r="E12" t="s">
        <v>84</v>
      </c>
      <c r="F12" t="s">
        <v>85</v>
      </c>
      <c r="G12" t="s">
        <v>86</v>
      </c>
      <c r="H12" t="s">
        <v>87</v>
      </c>
      <c r="I12" t="s">
        <v>16</v>
      </c>
    </row>
    <row r="13" spans="1:9" x14ac:dyDescent="0.25">
      <c r="A13" t="s">
        <v>75</v>
      </c>
      <c r="B13" t="s">
        <v>27</v>
      </c>
      <c r="C13" t="s">
        <v>88</v>
      </c>
      <c r="D13" t="s">
        <v>89</v>
      </c>
      <c r="E13" t="s">
        <v>90</v>
      </c>
      <c r="F13" t="s">
        <v>91</v>
      </c>
      <c r="G13" t="s">
        <v>92</v>
      </c>
      <c r="H13">
        <v>24</v>
      </c>
      <c r="I13" t="s">
        <v>33</v>
      </c>
    </row>
    <row r="14" spans="1:9" x14ac:dyDescent="0.25">
      <c r="A14" t="s">
        <v>93</v>
      </c>
      <c r="B14" t="s">
        <v>94</v>
      </c>
      <c r="C14" t="s">
        <v>95</v>
      </c>
      <c r="D14" t="s">
        <v>96</v>
      </c>
      <c r="E14" t="s">
        <v>97</v>
      </c>
      <c r="F14" t="s">
        <v>98</v>
      </c>
      <c r="G14" t="s">
        <v>99</v>
      </c>
      <c r="H14">
        <v>26</v>
      </c>
      <c r="I14" t="s">
        <v>25</v>
      </c>
    </row>
    <row r="15" spans="1:9" x14ac:dyDescent="0.25">
      <c r="A15" t="s">
        <v>93</v>
      </c>
      <c r="B15" t="s">
        <v>18</v>
      </c>
      <c r="C15" t="s">
        <v>100</v>
      </c>
      <c r="D15" t="s">
        <v>101</v>
      </c>
      <c r="E15" t="s">
        <v>90</v>
      </c>
      <c r="F15" t="s">
        <v>102</v>
      </c>
      <c r="G15" t="s">
        <v>103</v>
      </c>
      <c r="H15">
        <v>22</v>
      </c>
      <c r="I15" t="s">
        <v>16</v>
      </c>
    </row>
    <row r="16" spans="1:9" x14ac:dyDescent="0.25">
      <c r="A16" t="s">
        <v>93</v>
      </c>
      <c r="B16" t="s">
        <v>48</v>
      </c>
      <c r="C16" t="s">
        <v>104</v>
      </c>
      <c r="D16" t="s">
        <v>105</v>
      </c>
      <c r="E16" t="s">
        <v>106</v>
      </c>
      <c r="F16" t="s">
        <v>107</v>
      </c>
      <c r="G16" t="s">
        <v>108</v>
      </c>
      <c r="H16">
        <v>30</v>
      </c>
      <c r="I16" t="s">
        <v>74</v>
      </c>
    </row>
    <row r="17" spans="1:9" x14ac:dyDescent="0.25">
      <c r="A17" t="s">
        <v>109</v>
      </c>
      <c r="B17" t="s">
        <v>10</v>
      </c>
      <c r="C17" t="s">
        <v>110</v>
      </c>
      <c r="D17" t="s">
        <v>111</v>
      </c>
      <c r="E17" t="s">
        <v>97</v>
      </c>
      <c r="F17" t="s">
        <v>112</v>
      </c>
      <c r="G17" t="s">
        <v>113</v>
      </c>
      <c r="H17">
        <v>26</v>
      </c>
      <c r="I17" t="s">
        <v>16</v>
      </c>
    </row>
    <row r="18" spans="1:9" x14ac:dyDescent="0.25">
      <c r="A18" t="s">
        <v>109</v>
      </c>
      <c r="B18" t="s">
        <v>18</v>
      </c>
      <c r="C18" t="s">
        <v>114</v>
      </c>
      <c r="D18" t="s">
        <v>115</v>
      </c>
      <c r="E18" t="s">
        <v>116</v>
      </c>
      <c r="F18" t="s">
        <v>117</v>
      </c>
      <c r="G18" t="s">
        <v>118</v>
      </c>
      <c r="H18" t="s">
        <v>119</v>
      </c>
      <c r="I18" t="s">
        <v>16</v>
      </c>
    </row>
    <row r="19" spans="1:9" x14ac:dyDescent="0.25">
      <c r="A19" t="s">
        <v>109</v>
      </c>
      <c r="B19" t="s">
        <v>48</v>
      </c>
      <c r="C19" t="s">
        <v>120</v>
      </c>
      <c r="D19" t="s">
        <v>36</v>
      </c>
      <c r="E19" t="s">
        <v>30</v>
      </c>
      <c r="F19" t="s">
        <v>121</v>
      </c>
      <c r="G19" t="s">
        <v>122</v>
      </c>
      <c r="H19">
        <v>29</v>
      </c>
      <c r="I19" t="s">
        <v>33</v>
      </c>
    </row>
    <row r="20" spans="1:9" x14ac:dyDescent="0.25">
      <c r="A20" t="s">
        <v>93</v>
      </c>
      <c r="B20" t="s">
        <v>48</v>
      </c>
      <c r="C20" t="s">
        <v>104</v>
      </c>
      <c r="D20" t="s">
        <v>105</v>
      </c>
      <c r="E20" t="s">
        <v>106</v>
      </c>
      <c r="F20" t="s">
        <v>107</v>
      </c>
      <c r="G20" t="s">
        <v>108</v>
      </c>
      <c r="H20">
        <v>30</v>
      </c>
      <c r="I20" t="s">
        <v>74</v>
      </c>
    </row>
    <row r="21" spans="1:9" x14ac:dyDescent="0.25">
      <c r="A21" t="s">
        <v>75</v>
      </c>
      <c r="C21" t="s">
        <v>123</v>
      </c>
      <c r="E21" t="s">
        <v>124</v>
      </c>
      <c r="F21" t="s">
        <v>125</v>
      </c>
      <c r="H21">
        <v>33</v>
      </c>
      <c r="I21" t="s">
        <v>53</v>
      </c>
    </row>
    <row r="22" spans="1:9" x14ac:dyDescent="0.25">
      <c r="A22" t="s">
        <v>55</v>
      </c>
      <c r="B22" t="s">
        <v>126</v>
      </c>
      <c r="C22" t="s">
        <v>127</v>
      </c>
      <c r="D22" t="s">
        <v>128</v>
      </c>
      <c r="E22" t="s">
        <v>129</v>
      </c>
      <c r="F22" t="s">
        <v>65</v>
      </c>
      <c r="G22" t="s">
        <v>130</v>
      </c>
      <c r="H22">
        <v>24</v>
      </c>
      <c r="I22" t="s">
        <v>16</v>
      </c>
    </row>
    <row r="23" spans="1:9" x14ac:dyDescent="0.25">
      <c r="A23" t="s">
        <v>16</v>
      </c>
      <c r="B23" t="s">
        <v>34</v>
      </c>
      <c r="C23" t="s">
        <v>131</v>
      </c>
      <c r="D23" t="s">
        <v>132</v>
      </c>
      <c r="E23" t="s">
        <v>133</v>
      </c>
      <c r="F23" t="s">
        <v>134</v>
      </c>
      <c r="G23" t="s">
        <v>135</v>
      </c>
      <c r="H23">
        <v>28</v>
      </c>
      <c r="I23" t="s">
        <v>18</v>
      </c>
    </row>
    <row r="24" spans="1:9" x14ac:dyDescent="0.25">
      <c r="A24" t="s">
        <v>0</v>
      </c>
      <c r="B24" t="s">
        <v>1</v>
      </c>
      <c r="C24" t="s">
        <v>2</v>
      </c>
      <c r="D24" t="s">
        <v>3</v>
      </c>
      <c r="E24" t="s">
        <v>4</v>
      </c>
      <c r="F24" t="s">
        <v>5</v>
      </c>
      <c r="G24" t="s">
        <v>6</v>
      </c>
      <c r="H24" t="s">
        <v>7</v>
      </c>
      <c r="I24" t="s">
        <v>8</v>
      </c>
    </row>
    <row r="25" spans="1:9" x14ac:dyDescent="0.25">
      <c r="A25" t="s">
        <v>93</v>
      </c>
      <c r="B25" t="s">
        <v>18</v>
      </c>
      <c r="C25" t="s">
        <v>136</v>
      </c>
      <c r="D25" t="s">
        <v>137</v>
      </c>
      <c r="E25" t="s">
        <v>138</v>
      </c>
      <c r="F25" t="s">
        <v>139</v>
      </c>
      <c r="H25">
        <v>22</v>
      </c>
      <c r="I25" t="s">
        <v>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A8764-E71B-430A-8F79-2AFBC43701E9}">
  <sheetPr>
    <tabColor theme="6" tint="0.39997558519241921"/>
  </sheetPr>
  <dimension ref="A1:I24"/>
  <sheetViews>
    <sheetView zoomScaleNormal="100" workbookViewId="0">
      <selection activeCell="B4" sqref="B4"/>
    </sheetView>
  </sheetViews>
  <sheetFormatPr defaultRowHeight="15" x14ac:dyDescent="0.25"/>
  <cols>
    <col min="1" max="1" width="18" bestFit="1" customWidth="1"/>
    <col min="2" max="3" width="23.5703125" bestFit="1" customWidth="1"/>
    <col min="4" max="4" width="23.5703125" customWidth="1"/>
    <col min="5" max="5" width="20.42578125" customWidth="1"/>
    <col min="6" max="6" width="19.85546875" bestFit="1" customWidth="1"/>
    <col min="7" max="7" width="23" bestFit="1" customWidth="1"/>
    <col min="8" max="9" width="19.85546875" bestFit="1" customWidth="1"/>
    <col min="10" max="10" width="20.140625" bestFit="1" customWidth="1"/>
  </cols>
  <sheetData>
    <row r="1" spans="1:9" x14ac:dyDescent="0.25">
      <c r="A1" s="2" t="s">
        <v>143</v>
      </c>
      <c r="B1" s="2" t="s">
        <v>144</v>
      </c>
      <c r="C1" s="2" t="s">
        <v>144</v>
      </c>
      <c r="D1" s="2" t="s">
        <v>144</v>
      </c>
      <c r="E1" s="2" t="s">
        <v>144</v>
      </c>
      <c r="F1" s="2" t="s">
        <v>144</v>
      </c>
      <c r="G1" s="2" t="s">
        <v>145</v>
      </c>
      <c r="H1" s="2" t="s">
        <v>146</v>
      </c>
      <c r="I1" s="2" t="s">
        <v>144</v>
      </c>
    </row>
    <row r="2" spans="1:9" x14ac:dyDescent="0.25">
      <c r="A2" s="3" t="s">
        <v>0</v>
      </c>
      <c r="B2" s="4" t="s">
        <v>140</v>
      </c>
      <c r="C2" s="3" t="s">
        <v>2</v>
      </c>
      <c r="D2" s="3" t="s">
        <v>3</v>
      </c>
      <c r="E2" s="3" t="s">
        <v>4</v>
      </c>
      <c r="F2" s="3" t="s">
        <v>5</v>
      </c>
      <c r="G2" s="4" t="s">
        <v>141</v>
      </c>
      <c r="H2" s="3" t="s">
        <v>7</v>
      </c>
      <c r="I2" s="4" t="s">
        <v>142</v>
      </c>
    </row>
    <row r="3" spans="1:9" x14ac:dyDescent="0.25">
      <c r="A3" s="2" t="s">
        <v>9</v>
      </c>
      <c r="B3" s="2" t="s">
        <v>18</v>
      </c>
      <c r="C3" s="2" t="s">
        <v>147</v>
      </c>
      <c r="D3" s="2" t="s">
        <v>156</v>
      </c>
      <c r="E3" s="2" t="s">
        <v>13</v>
      </c>
      <c r="F3" s="2" t="s">
        <v>14</v>
      </c>
      <c r="G3" s="6">
        <v>62000000</v>
      </c>
      <c r="H3" s="5">
        <v>22</v>
      </c>
      <c r="I3" s="2" t="s">
        <v>16</v>
      </c>
    </row>
    <row r="4" spans="1:9" x14ac:dyDescent="0.25">
      <c r="A4" s="2" t="s">
        <v>9</v>
      </c>
      <c r="B4" s="2" t="s">
        <v>18</v>
      </c>
      <c r="C4" s="2" t="s">
        <v>88</v>
      </c>
      <c r="D4" s="2" t="s">
        <v>77</v>
      </c>
      <c r="E4" s="2" t="s">
        <v>90</v>
      </c>
      <c r="F4" s="2" t="s">
        <v>22</v>
      </c>
      <c r="G4" s="6">
        <v>30000000</v>
      </c>
      <c r="H4" s="5">
        <v>22</v>
      </c>
      <c r="I4" s="2" t="s">
        <v>16</v>
      </c>
    </row>
    <row r="5" spans="1:9" x14ac:dyDescent="0.25">
      <c r="A5" s="2" t="s">
        <v>9</v>
      </c>
      <c r="B5" s="2" t="s">
        <v>48</v>
      </c>
      <c r="C5" s="2" t="s">
        <v>28</v>
      </c>
      <c r="D5" s="2" t="s">
        <v>156</v>
      </c>
      <c r="E5" s="2" t="s">
        <v>30</v>
      </c>
      <c r="F5" s="2" t="s">
        <v>153</v>
      </c>
      <c r="G5" s="6">
        <v>27000000</v>
      </c>
      <c r="H5" s="5">
        <v>27</v>
      </c>
      <c r="I5" s="2" t="s">
        <v>33</v>
      </c>
    </row>
    <row r="6" spans="1:9" x14ac:dyDescent="0.25">
      <c r="A6" s="2" t="s">
        <v>34</v>
      </c>
      <c r="B6" s="2" t="s">
        <v>18</v>
      </c>
      <c r="C6" s="2" t="s">
        <v>149</v>
      </c>
      <c r="D6" s="2" t="s">
        <v>156</v>
      </c>
      <c r="E6" s="2" t="s">
        <v>30</v>
      </c>
      <c r="F6" s="2" t="s">
        <v>38</v>
      </c>
      <c r="G6" s="6">
        <v>16600000</v>
      </c>
      <c r="H6" s="5">
        <v>25</v>
      </c>
      <c r="I6" s="2" t="s">
        <v>16</v>
      </c>
    </row>
    <row r="7" spans="1:9" x14ac:dyDescent="0.25">
      <c r="A7" s="2" t="s">
        <v>34</v>
      </c>
      <c r="B7" s="2" t="s">
        <v>18</v>
      </c>
      <c r="C7" s="2" t="s">
        <v>150</v>
      </c>
      <c r="D7" s="2" t="s">
        <v>70</v>
      </c>
      <c r="E7" s="2" t="s">
        <v>44</v>
      </c>
      <c r="F7" s="2" t="s">
        <v>45</v>
      </c>
      <c r="G7" s="6">
        <v>30000000</v>
      </c>
      <c r="H7" s="5">
        <v>23</v>
      </c>
      <c r="I7" s="2" t="s">
        <v>16</v>
      </c>
    </row>
    <row r="8" spans="1:9" x14ac:dyDescent="0.25">
      <c r="A8" s="2" t="s">
        <v>34</v>
      </c>
      <c r="B8" s="2" t="s">
        <v>48</v>
      </c>
      <c r="C8" s="2" t="s">
        <v>49</v>
      </c>
      <c r="D8" s="2" t="s">
        <v>70</v>
      </c>
      <c r="E8" s="2" t="s">
        <v>51</v>
      </c>
      <c r="F8" s="2" t="s">
        <v>52</v>
      </c>
      <c r="G8" s="6">
        <v>0</v>
      </c>
      <c r="H8" s="5">
        <v>33</v>
      </c>
      <c r="I8" s="2" t="s">
        <v>53</v>
      </c>
    </row>
    <row r="9" spans="1:9" x14ac:dyDescent="0.25">
      <c r="A9" s="2" t="s">
        <v>34</v>
      </c>
      <c r="B9" s="2" t="s">
        <v>18</v>
      </c>
      <c r="C9" s="2" t="s">
        <v>131</v>
      </c>
      <c r="D9" s="2" t="s">
        <v>70</v>
      </c>
      <c r="E9" s="2" t="s">
        <v>132</v>
      </c>
      <c r="F9" s="2" t="s">
        <v>134</v>
      </c>
      <c r="G9" s="6">
        <v>16800000</v>
      </c>
      <c r="H9" s="5">
        <v>28</v>
      </c>
      <c r="I9" s="2" t="s">
        <v>16</v>
      </c>
    </row>
    <row r="10" spans="1:9" x14ac:dyDescent="0.25">
      <c r="A10" s="2" t="s">
        <v>55</v>
      </c>
      <c r="B10" s="2" t="s">
        <v>18</v>
      </c>
      <c r="C10" s="2" t="s">
        <v>56</v>
      </c>
      <c r="D10" s="2" t="s">
        <v>70</v>
      </c>
      <c r="E10" s="2" t="s">
        <v>151</v>
      </c>
      <c r="F10" s="2" t="s">
        <v>59</v>
      </c>
      <c r="G10" s="6">
        <v>52000000</v>
      </c>
      <c r="H10" s="5">
        <v>23</v>
      </c>
      <c r="I10" s="2" t="s">
        <v>16</v>
      </c>
    </row>
    <row r="11" spans="1:9" x14ac:dyDescent="0.25">
      <c r="A11" s="2" t="s">
        <v>55</v>
      </c>
      <c r="B11" s="2" t="s">
        <v>18</v>
      </c>
      <c r="C11" s="2" t="s">
        <v>62</v>
      </c>
      <c r="D11" s="2" t="s">
        <v>77</v>
      </c>
      <c r="E11" s="2" t="s">
        <v>64</v>
      </c>
      <c r="F11" s="2" t="s">
        <v>65</v>
      </c>
      <c r="G11" s="6">
        <v>0</v>
      </c>
      <c r="H11" s="5">
        <v>21</v>
      </c>
      <c r="I11" s="2" t="s">
        <v>157</v>
      </c>
    </row>
    <row r="12" spans="1:9" x14ac:dyDescent="0.25">
      <c r="A12" s="2" t="s">
        <v>55</v>
      </c>
      <c r="B12" s="2" t="s">
        <v>48</v>
      </c>
      <c r="C12" s="2" t="s">
        <v>69</v>
      </c>
      <c r="D12" s="2" t="s">
        <v>70</v>
      </c>
      <c r="E12" s="2" t="s">
        <v>51</v>
      </c>
      <c r="F12" s="2" t="s">
        <v>72</v>
      </c>
      <c r="G12" s="6">
        <v>13000000</v>
      </c>
      <c r="H12" s="5">
        <v>32</v>
      </c>
      <c r="I12" s="2" t="s">
        <v>33</v>
      </c>
    </row>
    <row r="13" spans="1:9" x14ac:dyDescent="0.25">
      <c r="A13" s="2" t="s">
        <v>55</v>
      </c>
      <c r="B13" s="2" t="s">
        <v>18</v>
      </c>
      <c r="C13" s="2" t="s">
        <v>127</v>
      </c>
      <c r="D13" s="2" t="s">
        <v>156</v>
      </c>
      <c r="E13" s="2" t="s">
        <v>129</v>
      </c>
      <c r="F13" s="2" t="s">
        <v>65</v>
      </c>
      <c r="G13" s="6">
        <v>19000000</v>
      </c>
      <c r="H13" s="5">
        <v>24</v>
      </c>
      <c r="I13" s="2" t="s">
        <v>16</v>
      </c>
    </row>
    <row r="14" spans="1:9" x14ac:dyDescent="0.25">
      <c r="A14" s="2" t="s">
        <v>75</v>
      </c>
      <c r="B14" s="2" t="s">
        <v>18</v>
      </c>
      <c r="C14" s="2" t="s">
        <v>76</v>
      </c>
      <c r="D14" s="2" t="s">
        <v>77</v>
      </c>
      <c r="E14" s="2" t="s">
        <v>78</v>
      </c>
      <c r="F14" s="2" t="s">
        <v>79</v>
      </c>
      <c r="G14" s="6">
        <v>58000000</v>
      </c>
      <c r="H14" s="5">
        <v>25</v>
      </c>
      <c r="I14" s="2" t="s">
        <v>16</v>
      </c>
    </row>
    <row r="15" spans="1:9" x14ac:dyDescent="0.25">
      <c r="A15" s="2" t="s">
        <v>75</v>
      </c>
      <c r="B15" s="2" t="s">
        <v>18</v>
      </c>
      <c r="C15" s="2" t="s">
        <v>82</v>
      </c>
      <c r="D15" s="2" t="s">
        <v>156</v>
      </c>
      <c r="E15" s="2" t="s">
        <v>84</v>
      </c>
      <c r="F15" s="2" t="s">
        <v>85</v>
      </c>
      <c r="G15" s="6">
        <v>29000000</v>
      </c>
      <c r="H15" s="5">
        <v>25</v>
      </c>
      <c r="I15" s="2" t="s">
        <v>16</v>
      </c>
    </row>
    <row r="16" spans="1:9" x14ac:dyDescent="0.25">
      <c r="A16" s="2" t="s">
        <v>75</v>
      </c>
      <c r="B16" s="2" t="s">
        <v>48</v>
      </c>
      <c r="C16" s="2" t="s">
        <v>88</v>
      </c>
      <c r="D16" s="2" t="s">
        <v>77</v>
      </c>
      <c r="E16" s="2" t="s">
        <v>90</v>
      </c>
      <c r="F16" s="2" t="s">
        <v>91</v>
      </c>
      <c r="G16" s="6">
        <v>31300000</v>
      </c>
      <c r="H16" s="5">
        <v>24</v>
      </c>
      <c r="I16" s="2" t="s">
        <v>33</v>
      </c>
    </row>
    <row r="17" spans="1:9" x14ac:dyDescent="0.25">
      <c r="A17" s="2" t="s">
        <v>75</v>
      </c>
      <c r="B17" s="2" t="s">
        <v>18</v>
      </c>
      <c r="C17" s="2" t="s">
        <v>148</v>
      </c>
      <c r="D17" s="2" t="s">
        <v>77</v>
      </c>
      <c r="E17" s="2" t="s">
        <v>124</v>
      </c>
      <c r="F17" s="2" t="s">
        <v>153</v>
      </c>
      <c r="G17" s="6">
        <v>0</v>
      </c>
      <c r="H17" s="5">
        <v>33</v>
      </c>
      <c r="I17" s="2" t="s">
        <v>53</v>
      </c>
    </row>
    <row r="18" spans="1:9" x14ac:dyDescent="0.25">
      <c r="A18" s="2" t="s">
        <v>93</v>
      </c>
      <c r="B18" s="2" t="s">
        <v>18</v>
      </c>
      <c r="C18" s="2" t="s">
        <v>95</v>
      </c>
      <c r="D18" s="2" t="s">
        <v>156</v>
      </c>
      <c r="E18" s="2" t="s">
        <v>97</v>
      </c>
      <c r="F18" s="2" t="s">
        <v>98</v>
      </c>
      <c r="G18" s="6">
        <v>46300000</v>
      </c>
      <c r="H18" s="5">
        <v>26</v>
      </c>
      <c r="I18" s="2" t="s">
        <v>16</v>
      </c>
    </row>
    <row r="19" spans="1:9" x14ac:dyDescent="0.25">
      <c r="A19" s="2" t="s">
        <v>93</v>
      </c>
      <c r="B19" s="2" t="s">
        <v>18</v>
      </c>
      <c r="C19" s="2" t="s">
        <v>100</v>
      </c>
      <c r="D19" s="2" t="s">
        <v>70</v>
      </c>
      <c r="E19" s="2" t="s">
        <v>90</v>
      </c>
      <c r="F19" s="2" t="s">
        <v>102</v>
      </c>
      <c r="G19" s="6">
        <v>40000000</v>
      </c>
      <c r="H19" s="5">
        <v>22</v>
      </c>
      <c r="I19" s="2" t="s">
        <v>16</v>
      </c>
    </row>
    <row r="20" spans="1:9" x14ac:dyDescent="0.25">
      <c r="A20" s="2" t="s">
        <v>93</v>
      </c>
      <c r="B20" s="2" t="s">
        <v>48</v>
      </c>
      <c r="C20" s="2" t="s">
        <v>104</v>
      </c>
      <c r="D20" s="2" t="s">
        <v>77</v>
      </c>
      <c r="E20" s="2" t="s">
        <v>97</v>
      </c>
      <c r="F20" s="2" t="s">
        <v>154</v>
      </c>
      <c r="G20" s="6">
        <v>95000000</v>
      </c>
      <c r="H20" s="5">
        <v>30</v>
      </c>
      <c r="I20" s="2" t="s">
        <v>33</v>
      </c>
    </row>
    <row r="21" spans="1:9" x14ac:dyDescent="0.25">
      <c r="A21" s="2" t="s">
        <v>93</v>
      </c>
      <c r="B21" s="2" t="s">
        <v>18</v>
      </c>
      <c r="C21" s="2" t="s">
        <v>136</v>
      </c>
      <c r="D21" s="2" t="s">
        <v>77</v>
      </c>
      <c r="E21" s="2" t="s">
        <v>152</v>
      </c>
      <c r="F21" s="2" t="s">
        <v>139</v>
      </c>
      <c r="G21" s="6">
        <v>47500000</v>
      </c>
      <c r="H21" s="5">
        <v>22</v>
      </c>
      <c r="I21" s="2" t="s">
        <v>16</v>
      </c>
    </row>
    <row r="22" spans="1:9" x14ac:dyDescent="0.25">
      <c r="A22" s="2" t="s">
        <v>109</v>
      </c>
      <c r="B22" s="2" t="s">
        <v>18</v>
      </c>
      <c r="C22" s="2" t="s">
        <v>110</v>
      </c>
      <c r="D22" s="2" t="s">
        <v>77</v>
      </c>
      <c r="E22" s="2" t="s">
        <v>97</v>
      </c>
      <c r="F22" s="2" t="s">
        <v>112</v>
      </c>
      <c r="G22" s="6">
        <v>65000000</v>
      </c>
      <c r="H22" s="5">
        <v>26</v>
      </c>
      <c r="I22" s="2" t="s">
        <v>16</v>
      </c>
    </row>
    <row r="23" spans="1:9" x14ac:dyDescent="0.25">
      <c r="A23" s="2" t="s">
        <v>109</v>
      </c>
      <c r="B23" s="2" t="s">
        <v>18</v>
      </c>
      <c r="C23" s="2" t="s">
        <v>114</v>
      </c>
      <c r="D23" s="2" t="s">
        <v>156</v>
      </c>
      <c r="E23" s="2" t="s">
        <v>97</v>
      </c>
      <c r="F23" s="2" t="s">
        <v>117</v>
      </c>
      <c r="G23" s="6">
        <v>41000000</v>
      </c>
      <c r="H23" s="5">
        <v>18</v>
      </c>
      <c r="I23" s="2" t="s">
        <v>16</v>
      </c>
    </row>
    <row r="24" spans="1:9" x14ac:dyDescent="0.25">
      <c r="A24" s="2" t="s">
        <v>109</v>
      </c>
      <c r="B24" s="2" t="s">
        <v>48</v>
      </c>
      <c r="C24" s="2" t="s">
        <v>149</v>
      </c>
      <c r="D24" s="2" t="s">
        <v>156</v>
      </c>
      <c r="E24" s="2" t="s">
        <v>30</v>
      </c>
      <c r="F24" s="2" t="s">
        <v>155</v>
      </c>
      <c r="G24" s="6">
        <v>13500000</v>
      </c>
      <c r="H24" s="5">
        <v>29</v>
      </c>
      <c r="I24" s="2" t="s">
        <v>33</v>
      </c>
    </row>
  </sheetData>
  <autoFilter ref="A2:I24" xr:uid="{121A8764-E71B-430A-8F79-2AFBC43701E9}"/>
  <sortState xmlns:xlrd2="http://schemas.microsoft.com/office/spreadsheetml/2017/richdata2" ref="A3:I25">
    <sortCondition ref="A3:A25"/>
  </sortState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E7059-D724-41CB-823A-E2EAAB06413B}">
  <sheetPr>
    <tabColor theme="6" tint="-0.249977111117893"/>
  </sheetPr>
  <dimension ref="A4:H22"/>
  <sheetViews>
    <sheetView tabSelected="1" topLeftCell="A73" zoomScaleNormal="100" workbookViewId="0">
      <selection activeCell="J83" sqref="J83"/>
    </sheetView>
  </sheetViews>
  <sheetFormatPr defaultRowHeight="15" x14ac:dyDescent="0.25"/>
  <cols>
    <col min="1" max="1" width="25.85546875" bestFit="1" customWidth="1"/>
    <col min="2" max="2" width="16" bestFit="1" customWidth="1"/>
    <col min="3" max="3" width="21.85546875" bestFit="1" customWidth="1"/>
    <col min="4" max="4" width="16.28515625" bestFit="1" customWidth="1"/>
    <col min="5" max="5" width="14.28515625" bestFit="1" customWidth="1"/>
    <col min="6" max="6" width="17.7109375" bestFit="1" customWidth="1"/>
    <col min="7" max="7" width="22.5703125" bestFit="1" customWidth="1"/>
    <col min="8" max="8" width="25.5703125" bestFit="1" customWidth="1"/>
  </cols>
  <sheetData>
    <row r="4" spans="1:8" x14ac:dyDescent="0.25">
      <c r="C4" s="7" t="s">
        <v>158</v>
      </c>
      <c r="D4" s="7" t="s">
        <v>159</v>
      </c>
      <c r="E4" s="7" t="s">
        <v>160</v>
      </c>
      <c r="F4" s="7" t="s">
        <v>161</v>
      </c>
      <c r="G4" s="7" t="s">
        <v>162</v>
      </c>
      <c r="H4" s="7" t="s">
        <v>163</v>
      </c>
    </row>
    <row r="5" spans="1:8" x14ac:dyDescent="0.25">
      <c r="C5" s="2">
        <f>COUNTA('Dados Tratados'!A3:A24)</f>
        <v>22</v>
      </c>
      <c r="D5" s="2">
        <f>COUNTIF('Dados Tratados'!B:B, "Entrada")</f>
        <v>16</v>
      </c>
      <c r="E5" s="2">
        <f>COUNTIF('Dados Tratados'!B:B, "Saída")</f>
        <v>6</v>
      </c>
      <c r="F5" s="2">
        <f>COUNTA(_xlfn.UNIQUE('Dados Tratados'!C3:C24, ,))</f>
        <v>20</v>
      </c>
      <c r="G5" s="2">
        <f>COUNTA(_xlfn.UNIQUE('Dados Tratados'!E3:E24, ,))</f>
        <v>14</v>
      </c>
      <c r="H5" s="5">
        <f>AVERAGE('Dados Tratados'!H3:H24)</f>
        <v>25.454545454545453</v>
      </c>
    </row>
    <row r="14" spans="1:8" x14ac:dyDescent="0.25">
      <c r="A14" s="8" t="s">
        <v>167</v>
      </c>
      <c r="B14" s="8" t="s">
        <v>166</v>
      </c>
    </row>
    <row r="15" spans="1:8" x14ac:dyDescent="0.25">
      <c r="A15" s="10" t="s">
        <v>165</v>
      </c>
      <c r="B15" s="2" t="s">
        <v>18</v>
      </c>
      <c r="C15" s="2" t="s">
        <v>48</v>
      </c>
      <c r="D15" s="2" t="s">
        <v>164</v>
      </c>
      <c r="F15" s="11" t="s">
        <v>165</v>
      </c>
      <c r="G15" s="11" t="s">
        <v>168</v>
      </c>
    </row>
    <row r="16" spans="1:8" x14ac:dyDescent="0.25">
      <c r="A16" s="2" t="s">
        <v>9</v>
      </c>
      <c r="B16" s="6">
        <v>92000000</v>
      </c>
      <c r="C16" s="6">
        <v>27000000</v>
      </c>
      <c r="D16" s="6">
        <v>119000000</v>
      </c>
      <c r="F16" s="2" t="s">
        <v>9</v>
      </c>
      <c r="G16" s="6">
        <f>C16-B16</f>
        <v>-65000000</v>
      </c>
    </row>
    <row r="17" spans="1:7" x14ac:dyDescent="0.25">
      <c r="A17" s="2" t="s">
        <v>34</v>
      </c>
      <c r="B17" s="6">
        <v>63400000</v>
      </c>
      <c r="C17" s="6">
        <v>0</v>
      </c>
      <c r="D17" s="6">
        <v>63400000</v>
      </c>
      <c r="F17" s="2" t="s">
        <v>34</v>
      </c>
      <c r="G17" s="6">
        <f>C17-B17</f>
        <v>-63400000</v>
      </c>
    </row>
    <row r="18" spans="1:7" x14ac:dyDescent="0.25">
      <c r="A18" s="2" t="s">
        <v>55</v>
      </c>
      <c r="B18" s="6">
        <v>71000000</v>
      </c>
      <c r="C18" s="6">
        <v>13000000</v>
      </c>
      <c r="D18" s="6">
        <v>84000000</v>
      </c>
      <c r="F18" s="2" t="s">
        <v>55</v>
      </c>
      <c r="G18" s="6">
        <f>C18-B18</f>
        <v>-58000000</v>
      </c>
    </row>
    <row r="19" spans="1:7" x14ac:dyDescent="0.25">
      <c r="A19" s="2" t="s">
        <v>75</v>
      </c>
      <c r="B19" s="6">
        <v>87000000</v>
      </c>
      <c r="C19" s="6">
        <v>31300000</v>
      </c>
      <c r="D19" s="6">
        <v>118300000</v>
      </c>
      <c r="F19" s="2" t="s">
        <v>75</v>
      </c>
      <c r="G19" s="6">
        <f>C19-B19</f>
        <v>-55700000</v>
      </c>
    </row>
    <row r="20" spans="1:7" x14ac:dyDescent="0.25">
      <c r="A20" s="2" t="s">
        <v>93</v>
      </c>
      <c r="B20" s="6">
        <v>133800000</v>
      </c>
      <c r="C20" s="6">
        <v>95000000</v>
      </c>
      <c r="D20" s="6">
        <v>228800000</v>
      </c>
      <c r="F20" s="2" t="s">
        <v>93</v>
      </c>
      <c r="G20" s="6">
        <f>C20-B20</f>
        <v>-38800000</v>
      </c>
    </row>
    <row r="21" spans="1:7" x14ac:dyDescent="0.25">
      <c r="A21" s="2" t="s">
        <v>109</v>
      </c>
      <c r="B21" s="6">
        <v>106000000</v>
      </c>
      <c r="C21" s="6">
        <v>13500000</v>
      </c>
      <c r="D21" s="6">
        <v>119500000</v>
      </c>
      <c r="F21" s="2" t="s">
        <v>109</v>
      </c>
      <c r="G21" s="6">
        <f>C21-B21</f>
        <v>-92500000</v>
      </c>
    </row>
    <row r="22" spans="1:7" x14ac:dyDescent="0.25">
      <c r="A22" s="9" t="s">
        <v>164</v>
      </c>
      <c r="B22" s="6">
        <v>553200000</v>
      </c>
      <c r="C22" s="6">
        <v>179800000</v>
      </c>
      <c r="D22" s="6">
        <v>733000000</v>
      </c>
      <c r="F22" s="12" t="s">
        <v>164</v>
      </c>
      <c r="G22" s="6">
        <f>C22-B22</f>
        <v>-373400000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E5432-3B5D-4EC2-9644-5CAA892A13A9}">
  <sheetPr>
    <tabColor theme="1"/>
  </sheetPr>
  <dimension ref="A1"/>
  <sheetViews>
    <sheetView showGridLines="0" workbookViewId="0">
      <selection activeCell="N5" sqref="N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Apresentação</vt:lpstr>
      <vt:lpstr>Dados Brutos</vt:lpstr>
      <vt:lpstr>Dados Tratados</vt:lpstr>
      <vt:lpstr>Análises</vt:lpstr>
      <vt:lpstr>Anotações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Kaike Mendes</cp:lastModifiedBy>
  <dcterms:created xsi:type="dcterms:W3CDTF">2026-05-07T12:56:16Z</dcterms:created>
  <dcterms:modified xsi:type="dcterms:W3CDTF">2026-06-09T14:56:40Z</dcterms:modified>
</cp:coreProperties>
</file>