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C12CAC09-8E9C-459D-A256-AA3F1846CC9C}"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7" i="6" l="1"/>
  <c r="AC18" i="6"/>
  <c r="AC19" i="6"/>
  <c r="AC20" i="6"/>
  <c r="AC16" i="6"/>
  <c r="I10" i="4"/>
  <c r="I11" i="4"/>
  <c r="I12" i="4"/>
  <c r="I13" i="4"/>
  <c r="I14" i="4"/>
  <c r="I15" i="4"/>
  <c r="I16" i="4"/>
  <c r="I17" i="4"/>
  <c r="I18" i="4"/>
  <c r="I19" i="4"/>
  <c r="I20" i="4"/>
  <c r="I21" i="4"/>
  <c r="I22" i="4"/>
  <c r="I23" i="4"/>
  <c r="I24" i="4"/>
  <c r="I3" i="4"/>
  <c r="I4" i="4"/>
  <c r="I5" i="4"/>
  <c r="I6" i="4"/>
  <c r="I7" i="4"/>
  <c r="I8" i="4"/>
  <c r="I9" i="4"/>
  <c r="S16" i="6"/>
  <c r="S17" i="6"/>
  <c r="S18" i="6"/>
  <c r="S19" i="6"/>
  <c r="G22" i="6"/>
  <c r="G17" i="6"/>
  <c r="G18" i="6"/>
  <c r="G19" i="6"/>
  <c r="G20" i="6"/>
  <c r="G21" i="6"/>
  <c r="G16" i="6"/>
  <c r="H5" i="6"/>
  <c r="G5" i="6"/>
  <c r="F5" i="6"/>
  <c r="E5" i="6"/>
  <c r="D5" i="6"/>
  <c r="C5" i="6"/>
</calcChain>
</file>

<file path=xl/sharedStrings.xml><?xml version="1.0" encoding="utf-8"?>
<sst xmlns="http://schemas.openxmlformats.org/spreadsheetml/2006/main" count="434" uniqueCount="181">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</sst>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18">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0" fillId="0" borderId="0" xfId="0" applyNumberFormat="1" applyAlignment="1">
      <alignment horizontal="center"/>
    </xf>
  </cellXfs>
  <cellStyles count="2">
    <cellStyle name="Normal" xfId="0" builtinId="0"/>
    <cellStyle name="Porcentagem" xfId="1" builtinId="5"/>
  </cellStyles>
  <dxfs count="42">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Jovem (21-25 anos)</c:v>
                </c:pt>
                <c:pt idx="2">
                  <c:v>Experiente (26-30 anos)</c:v>
                </c:pt>
                <c:pt idx="3">
                  <c:v>Veterano (31+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783180"/>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8975490"/>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perfil de contratação predominante em</a:t>
          </a:r>
          <a:r>
            <a:rPr lang="pt-BR" sz="1200" b="1" baseline="0"/>
            <a:t> relação à nacionalidade dos atletas?</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 perfil</a:t>
          </a:r>
          <a:r>
            <a:rPr lang="pt-BR" sz="1200" b="1" baseline="0"/>
            <a:t> das contratações mudou ao longo das temporadas analisadas?</a:t>
          </a:r>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231467"/>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2314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5.801321412036"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s v="Tanguy Ndombélé"/>
    <x v="0"/>
    <s v="França"/>
    <s v="Lyon"/>
    <n v="62000000"/>
    <x v="0"/>
    <x v="0"/>
    <s v="Compra"/>
  </r>
  <r>
    <x v="0"/>
    <x v="0"/>
    <s v="Steven Bergwijn"/>
    <x v="1"/>
    <s v="Holanda"/>
    <s v="PSV Eindhoven"/>
    <n v="30000000"/>
    <x v="0"/>
    <x v="0"/>
    <s v="Compra"/>
  </r>
  <r>
    <x v="0"/>
    <x v="1"/>
    <s v="Christian Eriksen"/>
    <x v="0"/>
    <s v="Dinamarca"/>
    <s v="Inter Milan"/>
    <n v="27000000"/>
    <x v="1"/>
    <x v="1"/>
    <s v="Venda"/>
  </r>
  <r>
    <x v="1"/>
    <x v="0"/>
    <s v="Pierre-Emile Højbjerg"/>
    <x v="0"/>
    <s v="Dinamarca"/>
    <s v="Southampton"/>
    <n v="16600000"/>
    <x v="2"/>
    <x v="0"/>
    <s v="Compra"/>
  </r>
  <r>
    <x v="1"/>
    <x v="0"/>
    <s v="Sergio Reguilón"/>
    <x v="2"/>
    <s v="Espanha"/>
    <s v="Real Madrid"/>
    <n v="30000000"/>
    <x v="3"/>
    <x v="0"/>
    <s v="Compra"/>
  </r>
  <r>
    <x v="1"/>
    <x v="1"/>
    <s v="Jan Vertonghen"/>
    <x v="2"/>
    <s v="Bélgica"/>
    <s v="Benfica"/>
    <n v="0"/>
    <x v="4"/>
    <x v="2"/>
    <s v="Livre"/>
  </r>
  <r>
    <x v="1"/>
    <x v="0"/>
    <s v="Matt Doherty"/>
    <x v="2"/>
    <s v="Irlanda"/>
    <s v="Wolves"/>
    <n v="16800000"/>
    <x v="5"/>
    <x v="1"/>
    <s v="Compra"/>
  </r>
  <r>
    <x v="2"/>
    <x v="0"/>
    <s v="Cristian Romero"/>
    <x v="2"/>
    <s v="Argentina"/>
    <s v="Atalanta"/>
    <n v="52000000"/>
    <x v="3"/>
    <x v="0"/>
    <s v="Compra"/>
  </r>
  <r>
    <x v="2"/>
    <x v="0"/>
    <s v="Dejan Kulusevski"/>
    <x v="1"/>
    <s v="Suécia"/>
    <s v="Juventus"/>
    <n v="0"/>
    <x v="6"/>
    <x v="0"/>
    <s v="Empréstimo"/>
  </r>
  <r>
    <x v="2"/>
    <x v="1"/>
    <s v="Toby Alderweireld"/>
    <x v="2"/>
    <s v="Bélgica"/>
    <s v="Al Duhail"/>
    <n v="13000000"/>
    <x v="7"/>
    <x v="2"/>
    <s v="Venda"/>
  </r>
  <r>
    <x v="2"/>
    <x v="0"/>
    <s v="Rodrigo Bentancur"/>
    <x v="0"/>
    <s v="Uruguai"/>
    <s v="Juventus"/>
    <n v="19000000"/>
    <x v="8"/>
    <x v="0"/>
    <s v="Compra"/>
  </r>
  <r>
    <x v="3"/>
    <x v="0"/>
    <s v="Richarlison"/>
    <x v="1"/>
    <s v="Brasil"/>
    <s v="Everton"/>
    <n v="58000000"/>
    <x v="2"/>
    <x v="0"/>
    <s v="Compra"/>
  </r>
  <r>
    <x v="3"/>
    <x v="0"/>
    <s v="Yves Bissouma"/>
    <x v="0"/>
    <s v="Mali"/>
    <s v="Brighton"/>
    <n v="29000000"/>
    <x v="2"/>
    <x v="0"/>
    <s v="Compra"/>
  </r>
  <r>
    <x v="3"/>
    <x v="1"/>
    <s v="Steven Bergwijn"/>
    <x v="1"/>
    <s v="Holanda"/>
    <s v="Ajax"/>
    <n v="31300000"/>
    <x v="8"/>
    <x v="0"/>
    <s v="Venda"/>
  </r>
  <r>
    <x v="3"/>
    <x v="0"/>
    <s v="Ivan Perišić"/>
    <x v="1"/>
    <s v="Croácia"/>
    <s v="Inter Milan"/>
    <n v="0"/>
    <x v="4"/>
    <x v="2"/>
    <s v="Livre"/>
  </r>
  <r>
    <x v="4"/>
    <x v="0"/>
    <s v="James Maddison"/>
    <x v="0"/>
    <s v="Inglaterra"/>
    <s v="Leicester City"/>
    <n v="46300000"/>
    <x v="9"/>
    <x v="1"/>
    <s v="Compra"/>
  </r>
  <r>
    <x v="4"/>
    <x v="0"/>
    <s v="Micky van de Ven"/>
    <x v="2"/>
    <s v="Holanda"/>
    <s v="Wolfsburg"/>
    <n v="40000000"/>
    <x v="0"/>
    <x v="0"/>
    <s v="Compra"/>
  </r>
  <r>
    <x v="4"/>
    <x v="1"/>
    <s v="Harry Kane"/>
    <x v="1"/>
    <s v="Inglaterra"/>
    <s v="Bayern München"/>
    <n v="95000000"/>
    <x v="10"/>
    <x v="1"/>
    <s v="Venda"/>
  </r>
  <r>
    <x v="4"/>
    <x v="0"/>
    <s v="Brennan Johnson"/>
    <x v="1"/>
    <s v="País De Gales"/>
    <s v="Nottingham Forest"/>
    <n v="47500000"/>
    <x v="0"/>
    <x v="0"/>
    <s v="Compra"/>
  </r>
  <r>
    <x v="5"/>
    <x v="0"/>
    <s v="Dominic Solanke"/>
    <x v="1"/>
    <s v="Inglaterra"/>
    <s v="Bournemouth"/>
    <n v="65000000"/>
    <x v="9"/>
    <x v="1"/>
    <s v="Compra"/>
  </r>
  <r>
    <x v="5"/>
    <x v="0"/>
    <s v="Archie Gray"/>
    <x v="0"/>
    <s v="Inglaterra"/>
    <s v="Leeds United"/>
    <n v="41000000"/>
    <x v="11"/>
    <x v="3"/>
    <s v="Compra"/>
  </r>
  <r>
    <x v="5"/>
    <x v="1"/>
    <s v="Pierre-Emile Højbjerg"/>
    <x v="0"/>
    <s v="Dinamarca"/>
    <s v="Olympique Marseille"/>
    <n v="13500000"/>
    <x v="12"/>
    <x v="1"/>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26">
      <pivotArea collapsedLevelsAreSubtotals="1" fieldPosition="0">
        <references count="1">
          <reference field="8" count="0"/>
        </references>
      </pivotArea>
    </format>
    <format dxfId="25">
      <pivotArea field="8" type="button" dataOnly="0" labelOnly="1" outline="0" axis="axisRow" fieldPosition="0"/>
    </format>
    <format dxfId="24">
      <pivotArea dataOnly="0" labelOnly="1" fieldPosition="0">
        <references count="1">
          <reference field="8" count="0"/>
        </references>
      </pivotArea>
    </format>
    <format dxfId="23">
      <pivotArea dataOnly="0" labelOnly="1" outline="0" axis="axisValues" fieldPosition="0"/>
    </format>
    <format dxfId="22">
      <pivotArea grandRow="1" outline="0" collapsedLevelsAreSubtotals="1" fieldPosition="0"/>
    </format>
    <format dxfId="21">
      <pivotArea dataOnly="0" labelOnly="1" grandRow="1" outline="0" fieldPosition="0"/>
    </format>
    <format dxfId="20">
      <pivotArea dataOnly="0" labelOnly="1" fieldPosition="0">
        <references count="1">
          <reference field="1" count="0"/>
        </references>
      </pivotArea>
    </format>
    <format dxfId="19">
      <pivotArea field="1" type="button" dataOnly="0" labelOnly="1" outline="0" axis="axisCol" fieldPosition="0"/>
    </format>
    <format dxfId="18">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35">
      <pivotArea type="all" dataOnly="0" outline="0" fieldPosition="0"/>
    </format>
    <format dxfId="34">
      <pivotArea outline="0" collapsedLevelsAreSubtotals="1" fieldPosition="0"/>
    </format>
    <format dxfId="33">
      <pivotArea type="origin" dataOnly="0" labelOnly="1" outline="0" fieldPosition="0"/>
    </format>
    <format dxfId="32">
      <pivotArea field="1" type="button" dataOnly="0" labelOnly="1" outline="0" axis="axisCol" fieldPosition="0"/>
    </format>
    <format dxfId="31">
      <pivotArea type="topRight" dataOnly="0" labelOnly="1" outline="0" fieldPosition="0"/>
    </format>
    <format dxfId="30">
      <pivotArea field="3" type="button" dataOnly="0" labelOnly="1" outline="0" axis="axisRow" fieldPosition="0"/>
    </format>
    <format dxfId="29">
      <pivotArea dataOnly="0" labelOnly="1" fieldPosition="0">
        <references count="1">
          <reference field="3" count="0"/>
        </references>
      </pivotArea>
    </format>
    <format dxfId="28">
      <pivotArea dataOnly="0" labelOnly="1" fieldPosition="0">
        <references count="1">
          <reference field="1" count="0"/>
        </references>
      </pivotArea>
    </format>
    <format dxfId="27">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41">
      <pivotArea collapsedLevelsAreSubtotals="1" fieldPosition="0">
        <references count="1">
          <reference field="0" count="0"/>
        </references>
      </pivotArea>
    </format>
    <format dxfId="40">
      <pivotArea field="0" type="button" dataOnly="0" labelOnly="1" outline="0" axis="axisRow" fieldPosition="0"/>
    </format>
    <format dxfId="39">
      <pivotArea dataOnly="0" labelOnly="1" fieldPosition="0">
        <references count="1">
          <reference field="0" count="0"/>
        </references>
      </pivotArea>
    </format>
    <format dxfId="38">
      <pivotArea dataOnly="0" labelOnly="1" fieldPosition="0">
        <references count="1">
          <reference field="1" count="0"/>
        </references>
      </pivotArea>
    </format>
    <format dxfId="37">
      <pivotArea dataOnly="0" labelOnly="1" grandCol="1" outline="0" fieldPosition="0"/>
    </format>
    <format dxfId="36">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4" zoomScaleNormal="100" workbookViewId="0">
      <selection activeCell="G47" sqref="G47"/>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zoomScaleNormal="100" workbookViewId="0">
      <selection activeCell="H26" sqref="H26"/>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AC22"/>
  <sheetViews>
    <sheetView tabSelected="1" topLeftCell="B20" zoomScale="39" zoomScaleNormal="39" workbookViewId="0">
      <selection activeCell="AD46" sqref="AD46"/>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s>
  <sheetData>
    <row r="4" spans="1:29" x14ac:dyDescent="0.25">
      <c r="C4" s="7" t="s">
        <v>158</v>
      </c>
      <c r="D4" s="7" t="s">
        <v>159</v>
      </c>
      <c r="E4" s="7" t="s">
        <v>160</v>
      </c>
      <c r="F4" s="7" t="s">
        <v>161</v>
      </c>
      <c r="G4" s="7" t="s">
        <v>162</v>
      </c>
      <c r="H4" s="7" t="s">
        <v>163</v>
      </c>
    </row>
    <row r="5" spans="1:29"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29" x14ac:dyDescent="0.25">
      <c r="A14" s="8" t="s">
        <v>167</v>
      </c>
      <c r="B14" s="8" t="s">
        <v>166</v>
      </c>
      <c r="O14" s="10" t="s">
        <v>170</v>
      </c>
      <c r="P14" s="10" t="s">
        <v>171</v>
      </c>
      <c r="Y14" s="10" t="s">
        <v>175</v>
      </c>
      <c r="Z14" s="10" t="s">
        <v>171</v>
      </c>
    </row>
    <row r="15" spans="1:29"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row>
    <row r="16" spans="1:29"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17">
        <v>1</v>
      </c>
      <c r="AB16" s="2" t="s">
        <v>179</v>
      </c>
      <c r="AC16" s="16">
        <f>Z16/$Z$20</f>
        <v>6.25E-2</v>
      </c>
    </row>
    <row r="17" spans="1:29"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17">
        <v>1</v>
      </c>
      <c r="AB17" s="2" t="s">
        <v>176</v>
      </c>
      <c r="AC17" s="16">
        <f t="shared" ref="AC17:AC20" si="1">Z17/$Z$20</f>
        <v>6.25E-2</v>
      </c>
    </row>
    <row r="18" spans="1:29"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17">
        <v>3</v>
      </c>
      <c r="AB18" s="2" t="s">
        <v>177</v>
      </c>
      <c r="AC18" s="16">
        <f t="shared" si="1"/>
        <v>0.1875</v>
      </c>
    </row>
    <row r="19" spans="1:29"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17">
        <v>11</v>
      </c>
      <c r="AB19" s="2" t="s">
        <v>178</v>
      </c>
      <c r="AC19" s="16">
        <f t="shared" si="1"/>
        <v>0.6875</v>
      </c>
    </row>
    <row r="20" spans="1:29" x14ac:dyDescent="0.25">
      <c r="A20" s="2" t="s">
        <v>93</v>
      </c>
      <c r="B20" s="6">
        <v>133800000</v>
      </c>
      <c r="C20" s="6">
        <v>95000000</v>
      </c>
      <c r="D20" s="6">
        <v>228800000</v>
      </c>
      <c r="F20" s="2" t="s">
        <v>93</v>
      </c>
      <c r="G20" s="6">
        <f t="shared" si="0"/>
        <v>-38800000</v>
      </c>
      <c r="Y20" s="2" t="s">
        <v>164</v>
      </c>
      <c r="Z20" s="17">
        <v>16</v>
      </c>
      <c r="AB20" s="12" t="s">
        <v>164</v>
      </c>
      <c r="AC20" s="15">
        <f t="shared" si="1"/>
        <v>1</v>
      </c>
    </row>
    <row r="21" spans="1:29" x14ac:dyDescent="0.25">
      <c r="A21" s="2" t="s">
        <v>109</v>
      </c>
      <c r="B21" s="6">
        <v>106000000</v>
      </c>
      <c r="C21" s="6">
        <v>13500000</v>
      </c>
      <c r="D21" s="6">
        <v>119500000</v>
      </c>
      <c r="F21" s="2" t="s">
        <v>109</v>
      </c>
      <c r="G21" s="6">
        <f t="shared" si="0"/>
        <v>-92500000</v>
      </c>
    </row>
    <row r="22" spans="1:29" x14ac:dyDescent="0.25">
      <c r="A22" s="9" t="s">
        <v>164</v>
      </c>
      <c r="B22" s="6">
        <v>553200000</v>
      </c>
      <c r="C22" s="6">
        <v>179800000</v>
      </c>
      <c r="D22" s="6">
        <v>733000000</v>
      </c>
      <c r="F22" s="12" t="s">
        <v>164</v>
      </c>
      <c r="G22" s="6">
        <f t="shared" si="0"/>
        <v>-373400000</v>
      </c>
    </row>
  </sheetData>
  <pageMargins left="0.511811024" right="0.511811024" top="0.78740157499999996" bottom="0.78740157499999996" header="0.31496062000000002" footer="0.31496062000000002"/>
  <pageSetup paperSize="9" orientation="portrait" horizontalDpi="300" verticalDpi="300" r:id="rId4"/>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opLeftCell="A43"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2026-06-23T13:25:01Z</dcterms:modified>
</cp:coreProperties>
</file>