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D15BDF6F-27AE-4031-8608-CC882EF7A127}"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<sst xmlns="http://schemas.openxmlformats.org/spreadsheetml/2006/main" count="532" uniqueCount="203">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</sst>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727205</xdr:colOff>
      <xdr:row>36</xdr:row>
      <xdr:rowOff>87718</xdr:rowOff>
    </xdr:from>
    <xdr:ext cx="13856999" cy="8201348"/>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6907400" y="6829439"/>
          <a:ext cx="13856999" cy="8201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r>
            <a:rPr lang="pt-BR" sz="1400" b="0" i="0" baseline="0"/>
            <a:t>Os fatos apresentados reforçam o indicativo de que a equipe assumiu uma identidade </a:t>
          </a:r>
          <a:r>
            <a:rPr lang="pt-BR" sz="1400" b="1" i="0" baseline="0"/>
            <a:t>compradora</a:t>
          </a:r>
          <a:r>
            <a:rPr lang="pt-BR" sz="1400" b="0" i="0" baseline="0">
              <a:solidFill>
                <a:schemeClr val="tx1"/>
              </a:solidFill>
              <a:effectLst/>
              <a:latin typeface="+mn-lt"/>
              <a:ea typeface="+mn-ea"/>
              <a:cs typeface="+mn-cs"/>
            </a:rPr>
            <a:t>, principalmente quando alinhados ao déficit de </a:t>
          </a:r>
          <a:r>
            <a:rPr lang="pt-BR" sz="1400" b="1" i="0" baseline="0">
              <a:solidFill>
                <a:schemeClr val="tx1"/>
              </a:solidFill>
              <a:effectLst/>
              <a:latin typeface="+mn-lt"/>
              <a:ea typeface="+mn-ea"/>
              <a:cs typeface="+mn-cs"/>
            </a:rPr>
            <a:t>-£373.4 milhões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registrado durante o período.</a:t>
          </a:r>
          <a:br>
            <a:rPr lang="pt-BR" sz="1400" b="0" i="0" baseline="0"/>
          </a:br>
          <a:endParaRPr lang="pt-BR" sz="1400" b="0" i="0" baseline="0"/>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baseline="0">
              <a:solidFill>
                <a:schemeClr val="tx1"/>
              </a:solidFill>
              <a:effectLst/>
              <a:latin typeface="+mn-lt"/>
              <a:ea typeface="+mn-ea"/>
              <a:cs typeface="+mn-cs"/>
            </a:rPr>
            <a:t>O investimento do Tottenham Hotspur foi distribuído entre meio-campistas, atacantes e defensores </a:t>
          </a:r>
          <a:r>
            <a:rPr lang="pt-BR" sz="1400" b="0" i="0" baseline="0">
              <a:solidFill>
                <a:schemeClr val="tx1"/>
              </a:solidFill>
              <a:effectLst/>
              <a:latin typeface="+mn-lt"/>
              <a:ea typeface="+mn-ea"/>
              <a:cs typeface="+mn-cs"/>
            </a:rPr>
            <a:t>—</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representando, respectivamente, </a:t>
          </a:r>
          <a:r>
            <a:rPr lang="pt-BR" sz="1400" b="1" i="0" baseline="0">
              <a:solidFill>
                <a:schemeClr val="tx1"/>
              </a:solidFill>
              <a:effectLst/>
              <a:latin typeface="+mn-lt"/>
              <a:ea typeface="+mn-ea"/>
              <a:cs typeface="+mn-cs"/>
            </a:rPr>
            <a:t>38,7%</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36,2%</a:t>
          </a:r>
          <a:r>
            <a:rPr lang="pt-BR" sz="1400" b="0" i="0" baseline="0">
              <a:solidFill>
                <a:schemeClr val="tx1"/>
              </a:solidFill>
              <a:effectLst/>
              <a:latin typeface="+mn-lt"/>
              <a:ea typeface="+mn-ea"/>
              <a:cs typeface="+mn-cs"/>
            </a:rPr>
            <a:t> e </a:t>
          </a:r>
          <a:r>
            <a:rPr lang="pt-BR" sz="1400" b="1" i="0" baseline="0">
              <a:solidFill>
                <a:schemeClr val="tx1"/>
              </a:solidFill>
              <a:effectLst/>
              <a:latin typeface="+mn-lt"/>
              <a:ea typeface="+mn-ea"/>
              <a:cs typeface="+mn-cs"/>
            </a:rPr>
            <a:t>25,1% </a:t>
          </a:r>
          <a:r>
            <a:rPr lang="pt-BR" sz="1400" b="0" i="0" baseline="0">
              <a:solidFill>
                <a:schemeClr val="tx1"/>
              </a:solidFill>
              <a:effectLst/>
              <a:latin typeface="+mn-lt"/>
              <a:ea typeface="+mn-ea"/>
              <a:cs typeface="+mn-cs"/>
            </a:rPr>
            <a:t>do total.</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Os dados indicam que o clube possivelmente tenha desbravado o mercado de transferências visando jogadores com perfis </a:t>
          </a:r>
          <a:r>
            <a:rPr lang="pt-BR" sz="1400" b="1" i="0" baseline="0">
              <a:solidFill>
                <a:schemeClr val="tx1"/>
              </a:solidFill>
              <a:effectLst/>
              <a:latin typeface="+mn-lt"/>
              <a:ea typeface="+mn-ea"/>
              <a:cs typeface="+mn-cs"/>
            </a:rPr>
            <a:t>ofensivos</a:t>
          </a:r>
          <a:r>
            <a:rPr lang="pt-BR" sz="1400" b="0" i="0" baseline="0">
              <a:solidFill>
                <a:schemeClr val="tx1"/>
              </a:solidFill>
              <a:effectLst/>
              <a:latin typeface="+mn-lt"/>
              <a:ea typeface="+mn-ea"/>
              <a:cs typeface="+mn-cs"/>
            </a:rPr>
            <a:t> e que </a:t>
          </a:r>
          <a:r>
            <a:rPr lang="pt-BR" sz="1400" b="1" i="0" baseline="0">
              <a:solidFill>
                <a:schemeClr val="tx1"/>
              </a:solidFill>
              <a:effectLst/>
              <a:latin typeface="+mn-lt"/>
              <a:ea typeface="+mn-ea"/>
              <a:cs typeface="+mn-cs"/>
            </a:rPr>
            <a:t>controlem</a:t>
          </a:r>
          <a:r>
            <a:rPr lang="pt-BR" sz="1400" b="0" i="0" baseline="0">
              <a:solidFill>
                <a:schemeClr val="tx1"/>
              </a:solidFill>
              <a:effectLst/>
              <a:latin typeface="+mn-lt"/>
              <a:ea typeface="+mn-ea"/>
              <a:cs typeface="+mn-cs"/>
            </a:rPr>
            <a:t> o setor do meio-campo,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visto que, juntas, suas posições compõem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entradas.</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 relação ao perfil etário das contratações, identificou-se que </a:t>
          </a:r>
          <a:r>
            <a:rPr lang="pt-BR" sz="1400" b="1" i="0" baseline="0">
              <a:solidFill>
                <a:schemeClr val="tx1"/>
              </a:solidFill>
              <a:effectLst/>
              <a:latin typeface="+mn-lt"/>
              <a:ea typeface="+mn-ea"/>
              <a:cs typeface="+mn-cs"/>
            </a:rPr>
            <a:t>69%</a:t>
          </a:r>
          <a:r>
            <a:rPr lang="pt-BR" sz="1400" b="0" i="0" baseline="0">
              <a:solidFill>
                <a:schemeClr val="tx1"/>
              </a:solidFill>
              <a:effectLst/>
              <a:latin typeface="+mn-lt"/>
              <a:ea typeface="+mn-ea"/>
              <a:cs typeface="+mn-cs"/>
            </a:rPr>
            <a:t> dos atletas eram jovens que possuíam entre 21 e 25 anos, enquanto </a:t>
          </a:r>
          <a:r>
            <a:rPr lang="pt-BR" sz="1400" b="1" i="0" baseline="0">
              <a:solidFill>
                <a:schemeClr val="tx1"/>
              </a:solidFill>
              <a:effectLst/>
              <a:latin typeface="+mn-lt"/>
              <a:ea typeface="+mn-ea"/>
              <a:cs typeface="+mn-cs"/>
            </a:rPr>
            <a:t>19% </a:t>
          </a:r>
          <a:r>
            <a:rPr lang="pt-BR" sz="1400" b="0" i="0" baseline="0">
              <a:solidFill>
                <a:schemeClr val="tx1"/>
              </a:solidFill>
              <a:effectLst/>
              <a:latin typeface="+mn-lt"/>
              <a:ea typeface="+mn-ea"/>
              <a:cs typeface="+mn-cs"/>
            </a:rPr>
            <a:t>concentravam-se em jogadores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experientes, dos 26 aos 30 anos. Ativos muito jovens ou veteranos também marcaram presença, registrando </a:t>
          </a:r>
          <a:r>
            <a:rPr lang="pt-BR" sz="1400" b="1" i="0" baseline="0">
              <a:solidFill>
                <a:schemeClr val="tx1"/>
              </a:solidFill>
              <a:effectLst/>
              <a:latin typeface="+mn-lt"/>
              <a:ea typeface="+mn-ea"/>
              <a:cs typeface="+mn-cs"/>
            </a:rPr>
            <a:t>6% </a:t>
          </a:r>
          <a:r>
            <a:rPr lang="pt-BR" sz="1400" b="0" i="0" baseline="0">
              <a:solidFill>
                <a:schemeClr val="tx1"/>
              </a:solidFill>
              <a:effectLst/>
              <a:latin typeface="+mn-lt"/>
              <a:ea typeface="+mn-ea"/>
              <a:cs typeface="+mn-cs"/>
            </a:rPr>
            <a:t>cada. Embora os dados tenham apresentado um distanciamento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similar entre as duas categorias "extremas" citadas anteriormente e o restante do conjunto, uma delas tornou-se fundamental para compreender o comportamento do Tottenham</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Hotspur: a faixa etária batizada de </a:t>
          </a:r>
          <a:r>
            <a:rPr lang="pt-BR" sz="1400" b="1" i="0" baseline="0">
              <a:solidFill>
                <a:schemeClr val="tx1"/>
              </a:solidFill>
              <a:effectLst/>
              <a:latin typeface="+mn-lt"/>
              <a:ea typeface="+mn-ea"/>
              <a:cs typeface="+mn-cs"/>
            </a:rPr>
            <a:t>muito jovem</a:t>
          </a:r>
          <a:r>
            <a:rPr lang="pt-BR" sz="1400" b="0" i="0" baseline="0">
              <a:solidFill>
                <a:schemeClr val="tx1"/>
              </a:solidFill>
              <a:effectLst/>
              <a:latin typeface="+mn-lt"/>
              <a:ea typeface="+mn-ea"/>
              <a:cs typeface="+mn-cs"/>
            </a:rPr>
            <a:t> (16 até 20 anos)</a:t>
          </a:r>
          <a:r>
            <a:rPr lang="pt-BR" sz="1400" b="1"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 que conta com apenas um jogador, sendo ele Archie Gray. Somando-a à categoria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é possível concluir que</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contratações giraram em torno de ativos entre </a:t>
          </a:r>
          <a:r>
            <a:rPr lang="pt-BR" sz="1400" b="1" i="0" baseline="0">
              <a:solidFill>
                <a:schemeClr val="tx1"/>
              </a:solidFill>
              <a:effectLst/>
              <a:latin typeface="+mn-lt"/>
              <a:ea typeface="+mn-ea"/>
              <a:cs typeface="+mn-cs"/>
            </a:rPr>
            <a:t>16 e 25 anos</a:t>
          </a:r>
          <a:r>
            <a:rPr lang="pt-BR" sz="1400" b="0" i="0" baseline="0">
              <a:solidFill>
                <a:schemeClr val="tx1"/>
              </a:solidFill>
              <a:effectLst/>
              <a:latin typeface="+mn-lt"/>
              <a:ea typeface="+mn-ea"/>
              <a:cs typeface="+mn-cs"/>
            </a:rPr>
            <a:t>, portanto, jovens. O fato apresentado indica que o clube possivelmente adentrou o mercado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transferências buscando um perfil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que possui potencial para se desenvolver, sem desconsiderar jogadores consolidados e mais experientes, compondo um elenco </a:t>
          </a:r>
          <a:r>
            <a:rPr lang="pt-BR" sz="1400" b="1" i="0" baseline="0">
              <a:solidFill>
                <a:schemeClr val="tx1"/>
              </a:solidFill>
              <a:effectLst/>
              <a:latin typeface="+mn-lt"/>
              <a:ea typeface="+mn-ea"/>
              <a:cs typeface="+mn-cs"/>
            </a:rPr>
            <a:t>mesclado</a:t>
          </a:r>
          <a:r>
            <a:rPr lang="pt-BR" sz="1400" b="0" i="0" baseline="0">
              <a:solidFill>
                <a:schemeClr val="tx1"/>
              </a:solidFill>
              <a:effectLst/>
              <a:latin typeface="+mn-lt"/>
              <a:ea typeface="+mn-ea"/>
              <a:cs typeface="+mn-cs"/>
            </a:rPr>
            <a:t>.</a:t>
          </a:r>
        </a:p>
        <a:p>
          <a:pPr marL="0" marR="0" lvl="0" indent="0" algn="ctr" defTabSz="914400" eaLnBrk="1" fontAlgn="auto" latinLnBrk="0" hangingPunct="1">
            <a:lnSpc>
              <a:spcPct val="100000"/>
            </a:lnSpc>
            <a:spcBef>
              <a:spcPts val="0"/>
            </a:spcBef>
            <a:spcAft>
              <a:spcPts val="0"/>
            </a:spcAft>
            <a:buClrTx/>
            <a:buSzTx/>
            <a:buFontTx/>
            <a:buNone/>
            <a:tabLst/>
            <a:defRPr/>
          </a:pPr>
          <a:endParaRPr lang="pt-BR" sz="1400" b="0" i="0" baseline="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a:effectLst/>
            </a:rPr>
            <a:t>No que diz respeito às</a:t>
          </a:r>
          <a:r>
            <a:rPr lang="pt-BR" sz="1400" baseline="0">
              <a:effectLst/>
            </a:rPr>
            <a:t> nacionalidades dos atletas, não foi possível identificar um padrão quanto suas presenças nas contratações do clube. O principal fator para tal foi a</a:t>
          </a:r>
          <a:endParaRPr lang="pt-BR" sz="1400" b="1" baseline="0">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b="1" baseline="0">
              <a:effectLst/>
            </a:rPr>
            <a:t>diversidade</a:t>
          </a:r>
          <a:r>
            <a:rPr lang="pt-BR" sz="1400" b="0" baseline="0">
              <a:effectLst/>
            </a:rPr>
            <a:t> de nações encontradas, contabilizando </a:t>
          </a:r>
          <a:r>
            <a:rPr lang="pt-BR" sz="1400" b="1" baseline="0">
              <a:effectLst/>
            </a:rPr>
            <a:t>16</a:t>
          </a:r>
          <a:r>
            <a:rPr lang="pt-BR" sz="1400" b="0" baseline="0">
              <a:effectLst/>
            </a:rPr>
            <a:t> entre </a:t>
          </a:r>
          <a:r>
            <a:rPr lang="pt-BR" sz="1400" b="1" baseline="0">
              <a:effectLst/>
            </a:rPr>
            <a:t>13</a:t>
          </a:r>
          <a:r>
            <a:rPr lang="pt-BR" sz="1400" b="0" baseline="0">
              <a:effectLst/>
            </a:rPr>
            <a:t> jogadores. Em decorrência, ingleses e neerlandeses, líderes da lista com </a:t>
          </a:r>
          <a:r>
            <a:rPr lang="pt-BR" sz="1400" b="1" baseline="0">
              <a:effectLst/>
            </a:rPr>
            <a:t>3</a:t>
          </a:r>
          <a:r>
            <a:rPr lang="pt-BR" sz="1400" b="0" baseline="0">
              <a:effectLst/>
            </a:rPr>
            <a:t> e </a:t>
          </a:r>
          <a:r>
            <a:rPr lang="pt-BR" sz="1400" b="1" baseline="0">
              <a:effectLst/>
            </a:rPr>
            <a:t>2</a:t>
          </a:r>
          <a:r>
            <a:rPr lang="pt-BR" sz="1400" b="0" baseline="0">
              <a:effectLst/>
            </a:rPr>
            <a:t> atletas respectivamente,</a:t>
          </a:r>
          <a:br>
            <a:rPr lang="pt-BR" sz="1400" b="0" baseline="0">
              <a:effectLst/>
            </a:rPr>
          </a:br>
          <a:r>
            <a:rPr lang="pt-BR" sz="1400" b="0" baseline="0">
              <a:effectLst/>
            </a:rPr>
            <a:t>dificilmente podem ser considerados como modelos. No entanto, como forma de enriquecer a análise, é importante levar em consideração quais foram os clubes de origem dos</a:t>
          </a:r>
          <a:br>
            <a:rPr lang="pt-BR" sz="1400" b="0" baseline="0">
              <a:effectLst/>
            </a:rPr>
          </a:br>
          <a:r>
            <a:rPr lang="pt-BR" sz="1400" b="0" baseline="0">
              <a:effectLst/>
            </a:rPr>
            <a:t>jogadores envolvidos nas negociações, incluindo os representantes de ambas as nações. Notou-se que o Tottenham Hotspur, possivelmente alinhando-se com uma estratégia do</a:t>
          </a:r>
          <a:br>
            <a:rPr lang="pt-BR" sz="1400" b="0" baseline="0">
              <a:effectLst/>
            </a:rPr>
          </a:br>
          <a:r>
            <a:rPr lang="pt-BR" sz="1400" b="0" baseline="0">
              <a:effectLst/>
            </a:rPr>
            <a:t>seu departamento de </a:t>
          </a:r>
          <a:r>
            <a:rPr lang="pt-BR" sz="1400" b="0" i="1" baseline="0">
              <a:effectLst/>
            </a:rPr>
            <a:t>scouting</a:t>
          </a:r>
          <a:r>
            <a:rPr lang="pt-BR" sz="1400" b="0" i="0" baseline="0">
              <a:effectLst/>
            </a:rPr>
            <a:t>, mapeou ativos presentes em diversos mercados europeus</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sem estarem necessariamente ligados à nacionalidade daquele país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como é o caso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Cristian Romero, defensor </a:t>
          </a:r>
          <a:r>
            <a:rPr lang="pt-BR" sz="1400" b="1" i="0" baseline="0">
              <a:solidFill>
                <a:schemeClr val="tx1"/>
              </a:solidFill>
              <a:effectLst/>
              <a:latin typeface="+mn-lt"/>
              <a:ea typeface="+mn-ea"/>
              <a:cs typeface="+mn-cs"/>
            </a:rPr>
            <a:t>argentino</a:t>
          </a:r>
          <a:r>
            <a:rPr lang="pt-BR" sz="1400" b="0" i="0" baseline="0">
              <a:solidFill>
                <a:schemeClr val="tx1"/>
              </a:solidFill>
              <a:effectLst/>
              <a:latin typeface="+mn-lt"/>
              <a:ea typeface="+mn-ea"/>
              <a:cs typeface="+mn-cs"/>
            </a:rPr>
            <a:t> adquirido enquanto atuava pela Atalanta, um clube </a:t>
          </a:r>
          <a:r>
            <a:rPr lang="pt-BR" sz="1400" b="1" i="0" baseline="0">
              <a:solidFill>
                <a:schemeClr val="tx1"/>
              </a:solidFill>
              <a:effectLst/>
              <a:latin typeface="+mn-lt"/>
              <a:ea typeface="+mn-ea"/>
              <a:cs typeface="+mn-cs"/>
            </a:rPr>
            <a:t>italiano</a:t>
          </a:r>
          <a:r>
            <a:rPr lang="pt-BR" sz="1400" b="0" i="0" baseline="0">
              <a:solidFill>
                <a:schemeClr val="tx1"/>
              </a:solidFill>
              <a:effectLst/>
              <a:latin typeface="+mn-lt"/>
              <a:ea typeface="+mn-ea"/>
              <a:cs typeface="+mn-cs"/>
            </a:rPr>
            <a:t>. Também foi possível identificar que a equipe não se distanciou do mercado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doméstico, visto que </a:t>
          </a:r>
          <a:r>
            <a:rPr lang="pt-BR" sz="1400" b="1" i="0" baseline="0">
              <a:solidFill>
                <a:schemeClr val="tx1"/>
              </a:solidFill>
              <a:effectLst/>
              <a:latin typeface="+mn-lt"/>
              <a:ea typeface="+mn-ea"/>
              <a:cs typeface="+mn-cs"/>
            </a:rPr>
            <a:t>todos</a:t>
          </a:r>
          <a:r>
            <a:rPr lang="pt-BR" sz="1400" b="0" i="0" baseline="0">
              <a:solidFill>
                <a:schemeClr val="tx1"/>
              </a:solidFill>
              <a:effectLst/>
              <a:latin typeface="+mn-lt"/>
              <a:ea typeface="+mn-ea"/>
              <a:cs typeface="+mn-cs"/>
            </a:rPr>
            <a:t> os atletas ingleses foram contratados enquanto jogavam por compatriotas dos Spurs, como Leeds United, Bournemouth e Leicester City. Todos 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indicadores apresentados reforçam a ideia de um elenco caracterizado pela </a:t>
          </a:r>
          <a:r>
            <a:rPr lang="pt-BR" sz="1400" b="1" i="0" baseline="0">
              <a:solidFill>
                <a:schemeClr val="tx1"/>
              </a:solidFill>
              <a:effectLst/>
              <a:latin typeface="+mn-lt"/>
              <a:ea typeface="+mn-ea"/>
              <a:cs typeface="+mn-cs"/>
            </a:rPr>
            <a:t>pluralidade</a:t>
          </a:r>
          <a:r>
            <a:rPr lang="pt-BR" sz="1400" b="0" i="0" baseline="0">
              <a:solidFill>
                <a:schemeClr val="tx1"/>
              </a:solidFill>
              <a:effectLst/>
              <a:latin typeface="+mn-lt"/>
              <a:ea typeface="+mn-ea"/>
              <a:cs typeface="+mn-cs"/>
            </a:rPr>
            <a:t>.</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Embora o valor gasto em contratações seja visto como destaque, a quantia </a:t>
          </a:r>
          <a:r>
            <a:rPr lang="pt-BR" sz="1400" b="1" i="0" baseline="0">
              <a:solidFill>
                <a:schemeClr val="tx1"/>
              </a:solidFill>
              <a:effectLst/>
              <a:latin typeface="+mn-lt"/>
              <a:ea typeface="+mn-ea"/>
              <a:cs typeface="+mn-cs"/>
            </a:rPr>
            <a:t>recebida</a:t>
          </a:r>
          <a:r>
            <a:rPr lang="pt-BR" sz="1400" b="0" i="0" baseline="0">
              <a:solidFill>
                <a:schemeClr val="tx1"/>
              </a:solidFill>
              <a:effectLst/>
              <a:latin typeface="+mn-lt"/>
              <a:ea typeface="+mn-ea"/>
              <a:cs typeface="+mn-cs"/>
            </a:rPr>
            <a:t> através das saídas de jogadores também impactou o clube. Foram registradas despedidas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apenas </a:t>
          </a:r>
          <a:r>
            <a:rPr lang="pt-BR" sz="1400" b="1" i="0" baseline="0">
              <a:solidFill>
                <a:schemeClr val="tx1"/>
              </a:solidFill>
              <a:effectLst/>
              <a:latin typeface="+mn-lt"/>
              <a:ea typeface="+mn-ea"/>
              <a:cs typeface="+mn-cs"/>
            </a:rPr>
            <a:t>6</a:t>
          </a:r>
          <a:r>
            <a:rPr lang="pt-BR" sz="1400" b="0" i="0" baseline="0">
              <a:solidFill>
                <a:schemeClr val="tx1"/>
              </a:solidFill>
              <a:effectLst/>
              <a:latin typeface="+mn-lt"/>
              <a:ea typeface="+mn-ea"/>
              <a:cs typeface="+mn-cs"/>
            </a:rPr>
            <a:t> ativos que, juntas, reuniram </a:t>
          </a:r>
          <a:r>
            <a:rPr lang="pt-BR" sz="1400" b="1" i="0" baseline="0">
              <a:solidFill>
                <a:schemeClr val="tx1"/>
              </a:solidFill>
              <a:effectLst/>
              <a:latin typeface="+mn-lt"/>
              <a:ea typeface="+mn-ea"/>
              <a:cs typeface="+mn-cs"/>
            </a:rPr>
            <a:t>£179.8 milhões </a:t>
          </a:r>
          <a:r>
            <a:rPr lang="pt-BR" sz="1400" b="0" i="0" baseline="0">
              <a:solidFill>
                <a:schemeClr val="tx1"/>
              </a:solidFill>
              <a:effectLst/>
              <a:latin typeface="+mn-lt"/>
              <a:ea typeface="+mn-ea"/>
              <a:cs typeface="+mn-cs"/>
            </a:rPr>
            <a:t>aos cofres londrinos. Uma das movimentações mencionadas foi relacionada ao defensor belga Jan Vertoghen, que deixou</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 clube livremente e sem custos na temporada 2020/21 — portanto, é possível concluir que </a:t>
          </a:r>
          <a:r>
            <a:rPr lang="pt-BR" sz="1400" b="1" i="0" baseline="0">
              <a:solidFill>
                <a:schemeClr val="tx1"/>
              </a:solidFill>
              <a:effectLst/>
              <a:latin typeface="+mn-lt"/>
              <a:ea typeface="+mn-ea"/>
              <a:cs typeface="+mn-cs"/>
            </a:rPr>
            <a:t>5</a:t>
          </a:r>
          <a:r>
            <a:rPr lang="pt-BR" sz="1400" b="0" i="0" baseline="0">
              <a:solidFill>
                <a:schemeClr val="tx1"/>
              </a:solidFill>
              <a:effectLst/>
              <a:latin typeface="+mn-lt"/>
              <a:ea typeface="+mn-ea"/>
              <a:cs typeface="+mn-cs"/>
            </a:rPr>
            <a:t> das transferências realmente renderam à equipe. Cerca de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das vendas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pertenciam à atacantes, </a:t>
          </a:r>
          <a:r>
            <a:rPr lang="pt-BR" sz="1400" b="1" i="0" baseline="0">
              <a:solidFill>
                <a:schemeClr val="tx1"/>
              </a:solidFill>
              <a:effectLst/>
              <a:latin typeface="+mn-lt"/>
              <a:ea typeface="+mn-ea"/>
              <a:cs typeface="+mn-cs"/>
            </a:rPr>
            <a:t>22,5%</a:t>
          </a:r>
          <a:r>
            <a:rPr lang="pt-BR" sz="1400" b="0" i="0" baseline="0">
              <a:solidFill>
                <a:schemeClr val="tx1"/>
              </a:solidFill>
              <a:effectLst/>
              <a:latin typeface="+mn-lt"/>
              <a:ea typeface="+mn-ea"/>
              <a:cs typeface="+mn-cs"/>
            </a:rPr>
            <a:t> à meio-campistas e, por fim, </a:t>
          </a:r>
          <a:r>
            <a:rPr lang="pt-BR" sz="1400" b="1" i="0" baseline="0">
              <a:solidFill>
                <a:schemeClr val="tx1"/>
              </a:solidFill>
              <a:effectLst/>
              <a:latin typeface="+mn-lt"/>
              <a:ea typeface="+mn-ea"/>
              <a:cs typeface="+mn-cs"/>
            </a:rPr>
            <a:t>7,2%</a:t>
          </a:r>
          <a:r>
            <a:rPr lang="pt-BR" sz="1400" b="0" i="0" baseline="0">
              <a:solidFill>
                <a:schemeClr val="tx1"/>
              </a:solidFill>
              <a:effectLst/>
              <a:latin typeface="+mn-lt"/>
              <a:ea typeface="+mn-ea"/>
              <a:cs typeface="+mn-cs"/>
            </a:rPr>
            <a:t> aos defensores. Como citado anteriormente, </a:t>
          </a:r>
          <a:r>
            <a:rPr lang="pt-BR" sz="1400" b="1" i="0" baseline="0">
              <a:solidFill>
                <a:schemeClr val="tx1"/>
              </a:solidFill>
              <a:effectLst/>
              <a:latin typeface="+mn-lt"/>
              <a:ea typeface="+mn-ea"/>
              <a:cs typeface="+mn-cs"/>
            </a:rPr>
            <a:t>52,8%</a:t>
          </a:r>
          <a:r>
            <a:rPr lang="pt-BR" sz="1400" b="0" i="0" baseline="0">
              <a:solidFill>
                <a:schemeClr val="tx1"/>
              </a:solidFill>
              <a:effectLst/>
              <a:latin typeface="+mn-lt"/>
              <a:ea typeface="+mn-ea"/>
              <a:cs typeface="+mn-cs"/>
            </a:rPr>
            <a:t> do montante envolvia a saída de apenas um atleta: o atacante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inglês Harry Kane. Sozinha, sua venda gerou </a:t>
          </a:r>
          <a:r>
            <a:rPr lang="pt-BR" sz="1400" b="1" i="0" baseline="0">
              <a:solidFill>
                <a:schemeClr val="tx1"/>
              </a:solidFill>
              <a:effectLst/>
              <a:latin typeface="+mn-lt"/>
              <a:ea typeface="+mn-ea"/>
              <a:cs typeface="+mn-cs"/>
            </a:rPr>
            <a:t>£95 milhões</a:t>
          </a:r>
          <a:r>
            <a:rPr lang="pt-BR" sz="1400" b="0" i="0" baseline="0">
              <a:solidFill>
                <a:schemeClr val="tx1"/>
              </a:solidFill>
              <a:effectLst/>
              <a:latin typeface="+mn-lt"/>
              <a:ea typeface="+mn-ea"/>
              <a:cs typeface="+mn-cs"/>
            </a:rPr>
            <a:t>, quantia superior à soma de todas as outras. Seu companheiro de ataque, Steve Bergwijn, também arrecadou um valor</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significativo ao Tottenham Hotspur: cerca de </a:t>
          </a:r>
          <a:r>
            <a:rPr lang="pt-BR" sz="1400" b="1" i="0" baseline="0">
              <a:solidFill>
                <a:schemeClr val="tx1"/>
              </a:solidFill>
              <a:effectLst/>
              <a:latin typeface="+mn-lt"/>
              <a:ea typeface="+mn-ea"/>
              <a:cs typeface="+mn-cs"/>
            </a:rPr>
            <a:t>£31 milhões</a:t>
          </a:r>
          <a:r>
            <a:rPr lang="pt-BR" sz="1400" b="0" i="0" baseline="0">
              <a:solidFill>
                <a:schemeClr val="tx1"/>
              </a:solidFill>
              <a:effectLst/>
              <a:latin typeface="+mn-lt"/>
              <a:ea typeface="+mn-ea"/>
              <a:cs typeface="+mn-cs"/>
            </a:rPr>
            <a:t>, se sobrepondo individualmente aos valores dos meio-campistas e defensores. Em resumo, as vendas acabaram</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concentrando-se</a:t>
          </a:r>
          <a:r>
            <a:rPr lang="pt-BR" sz="1400" b="0" i="0" baseline="0">
              <a:solidFill>
                <a:schemeClr val="tx1"/>
              </a:solidFill>
              <a:effectLst/>
              <a:latin typeface="+mn-lt"/>
              <a:ea typeface="+mn-ea"/>
              <a:cs typeface="+mn-cs"/>
            </a:rPr>
            <a:t> nos atacantes e, embora não haja indícios suficientes para determinar quais foram as razões por trás delas, continuam sendo peças importantes para a compreensão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do comportamento financeiro do clube.</a:t>
          </a:r>
        </a:p>
        <a:p>
          <a:pPr marL="0" marR="0" lvl="0" indent="0" algn="ctr" defTabSz="914400" eaLnBrk="1" fontAlgn="auto" latinLnBrk="0" hangingPunct="1">
            <a:lnSpc>
              <a:spcPct val="100000"/>
            </a:lnSpc>
            <a:spcBef>
              <a:spcPts val="0"/>
            </a:spcBef>
            <a:spcAft>
              <a:spcPts val="0"/>
            </a:spcAft>
            <a:buClrTx/>
            <a:buSzTx/>
            <a:buFontTx/>
            <a:buNone/>
            <a:tabLst/>
            <a:defRPr/>
          </a:pPr>
          <a:endParaRPr lang="pt-BR" sz="1400" b="0" i="0" baseline="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i="0" baseline="0">
              <a:solidFill>
                <a:schemeClr val="tx1"/>
              </a:solidFill>
              <a:effectLst/>
              <a:latin typeface="+mn-lt"/>
              <a:ea typeface="+mn-ea"/>
              <a:cs typeface="+mn-cs"/>
            </a:rPr>
            <a:t>Resumidamente, pode-se dizer que as movimentações financeiras do Tottenham Hotspur entre as temporadas 2019/20 e 2024/25 foram caracterizadas pela </a:t>
          </a:r>
          <a:r>
            <a:rPr lang="pt-BR" sz="1400" b="1" i="0" baseline="0">
              <a:solidFill>
                <a:schemeClr val="tx1"/>
              </a:solidFill>
              <a:effectLst/>
              <a:latin typeface="+mn-lt"/>
              <a:ea typeface="+mn-ea"/>
              <a:cs typeface="+mn-cs"/>
            </a:rPr>
            <a:t>incisividade</a:t>
          </a:r>
          <a:r>
            <a:rPr lang="pt-BR" sz="1400" b="0" i="0" baseline="0">
              <a:solidFill>
                <a:schemeClr val="tx1"/>
              </a:solidFill>
              <a:effectLst/>
              <a:latin typeface="+mn-lt"/>
              <a:ea typeface="+mn-ea"/>
              <a:cs typeface="+mn-cs"/>
            </a:rPr>
            <a:t> em contratações,</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diversidade</a:t>
          </a:r>
          <a:r>
            <a:rPr lang="pt-BR" sz="1400" b="0" i="0" baseline="0">
              <a:solidFill>
                <a:schemeClr val="tx1"/>
              </a:solidFill>
              <a:effectLst/>
              <a:latin typeface="+mn-lt"/>
              <a:ea typeface="+mn-ea"/>
              <a:cs typeface="+mn-cs"/>
            </a:rPr>
            <a:t> nas posições investidas, busca por </a:t>
          </a:r>
          <a:r>
            <a:rPr lang="pt-BR" sz="1400" b="1" i="0" baseline="0">
              <a:solidFill>
                <a:schemeClr val="tx1"/>
              </a:solidFill>
              <a:effectLst/>
              <a:latin typeface="+mn-lt"/>
              <a:ea typeface="+mn-ea"/>
              <a:cs typeface="+mn-cs"/>
            </a:rPr>
            <a:t>jovens</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pluralidade</a:t>
          </a:r>
          <a:r>
            <a:rPr lang="pt-BR" sz="1400" b="0" i="0" baseline="0">
              <a:solidFill>
                <a:schemeClr val="tx1"/>
              </a:solidFill>
              <a:effectLst/>
              <a:latin typeface="+mn-lt"/>
              <a:ea typeface="+mn-ea"/>
              <a:cs typeface="+mn-cs"/>
            </a:rPr>
            <a:t> na questão de nacionalidades e </a:t>
          </a:r>
          <a:r>
            <a:rPr lang="pt-BR" sz="1400" b="1" i="0" baseline="0">
              <a:solidFill>
                <a:schemeClr val="tx1"/>
              </a:solidFill>
              <a:effectLst/>
              <a:latin typeface="+mn-lt"/>
              <a:ea typeface="+mn-ea"/>
              <a:cs typeface="+mn-cs"/>
            </a:rPr>
            <a:t>concentração</a:t>
          </a:r>
          <a:r>
            <a:rPr lang="pt-BR" sz="1400" b="0" i="0" baseline="0">
              <a:solidFill>
                <a:schemeClr val="tx1"/>
              </a:solidFill>
              <a:effectLst/>
              <a:latin typeface="+mn-lt"/>
              <a:ea typeface="+mn-ea"/>
              <a:cs typeface="+mn-cs"/>
            </a:rPr>
            <a:t> das vendas em atacantes.</a:t>
          </a:r>
          <a:endParaRPr lang="pt-BR" sz="1400">
            <a:effectLst/>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40369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40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45">
      <pivotArea type="all" dataOnly="0" outline="0" fieldPosition="0"/>
    </format>
    <format dxfId="44">
      <pivotArea outline="0" collapsedLevelsAreSubtotals="1" fieldPosition="0"/>
    </format>
    <format dxfId="43">
      <pivotArea type="origin" dataOnly="0" labelOnly="1" outline="0" fieldPosition="0"/>
    </format>
    <format dxfId="42">
      <pivotArea field="0" type="button" dataOnly="0" labelOnly="1" outline="0" axis="axisCol" fieldPosition="0"/>
    </format>
    <format dxfId="41">
      <pivotArea field="4" type="button" dataOnly="0" labelOnly="1" outline="0" axis="axisRow" fieldPosition="0"/>
    </format>
    <format dxfId="40">
      <pivotArea dataOnly="0" labelOnly="1" fieldPosition="0">
        <references count="1">
          <reference field="4" count="15">
            <x v="2"/>
            <x v="5"/>
            <x v="6"/>
            <x v="7"/>
            <x v="8"/>
            <x v="9"/>
            <x v="10"/>
            <x v="11"/>
            <x v="12"/>
            <x v="13"/>
            <x v="15"/>
            <x v="16"/>
            <x v="17"/>
            <x v="18"/>
            <x v="19"/>
          </reference>
        </references>
      </pivotArea>
    </format>
    <format dxfId="39">
      <pivotArea dataOnly="0" labelOnly="1" grandRow="1" outline="0" fieldPosition="0"/>
    </format>
    <format dxfId="38">
      <pivotArea dataOnly="0" labelOnly="1" fieldPosition="0">
        <references count="2">
          <reference field="3" count="1">
            <x v="0"/>
          </reference>
          <reference field="4" count="1" selected="0">
            <x v="2"/>
          </reference>
        </references>
      </pivotArea>
    </format>
    <format dxfId="37">
      <pivotArea dataOnly="0" labelOnly="1" fieldPosition="0">
        <references count="2">
          <reference field="3" count="1">
            <x v="8"/>
          </reference>
          <reference field="4" count="1" selected="0">
            <x v="5"/>
          </reference>
        </references>
      </pivotArea>
    </format>
    <format dxfId="36">
      <pivotArea dataOnly="0" labelOnly="1" fieldPosition="0">
        <references count="2">
          <reference field="3" count="1">
            <x v="10"/>
          </reference>
          <reference field="4" count="1" selected="0">
            <x v="6"/>
          </reference>
        </references>
      </pivotArea>
    </format>
    <format dxfId="35">
      <pivotArea dataOnly="0" labelOnly="1" fieldPosition="0">
        <references count="2">
          <reference field="3" count="1">
            <x v="2"/>
          </reference>
          <reference field="4" count="1" selected="0">
            <x v="7"/>
          </reference>
        </references>
      </pivotArea>
    </format>
    <format dxfId="34">
      <pivotArea dataOnly="0" labelOnly="1" fieldPosition="0">
        <references count="2">
          <reference field="3" count="1">
            <x v="3"/>
          </reference>
          <reference field="4" count="1" selected="0">
            <x v="8"/>
          </reference>
        </references>
      </pivotArea>
    </format>
    <format dxfId="33">
      <pivotArea dataOnly="0" labelOnly="1" fieldPosition="0">
        <references count="2">
          <reference field="3" count="2">
            <x v="12"/>
            <x v="13"/>
          </reference>
          <reference field="4" count="1" selected="0">
            <x v="9"/>
          </reference>
        </references>
      </pivotArea>
    </format>
    <format dxfId="32">
      <pivotArea dataOnly="0" labelOnly="1" fieldPosition="0">
        <references count="2">
          <reference field="3" count="1">
            <x v="8"/>
          </reference>
          <reference field="4" count="1" selected="0">
            <x v="10"/>
          </reference>
        </references>
      </pivotArea>
    </format>
    <format dxfId="31">
      <pivotArea dataOnly="0" labelOnly="1" fieldPosition="0">
        <references count="2">
          <reference field="3" count="1">
            <x v="8"/>
          </reference>
          <reference field="4" count="1" selected="0">
            <x v="11"/>
          </reference>
        </references>
      </pivotArea>
    </format>
    <format dxfId="30">
      <pivotArea dataOnly="0" labelOnly="1" fieldPosition="0">
        <references count="2">
          <reference field="3" count="1">
            <x v="6"/>
          </reference>
          <reference field="4" count="1" selected="0">
            <x v="12"/>
          </reference>
        </references>
      </pivotArea>
    </format>
    <format dxfId="29">
      <pivotArea dataOnly="0" labelOnly="1" fieldPosition="0">
        <references count="2">
          <reference field="3" count="1">
            <x v="11"/>
          </reference>
          <reference field="4" count="1" selected="0">
            <x v="13"/>
          </reference>
        </references>
      </pivotArea>
    </format>
    <format dxfId="28">
      <pivotArea dataOnly="0" labelOnly="1" fieldPosition="0">
        <references count="2">
          <reference field="3" count="1">
            <x v="7"/>
          </reference>
          <reference field="4" count="1" selected="0">
            <x v="15"/>
          </reference>
        </references>
      </pivotArea>
    </format>
    <format dxfId="27">
      <pivotArea dataOnly="0" labelOnly="1" fieldPosition="0">
        <references count="2">
          <reference field="3" count="1">
            <x v="5"/>
          </reference>
          <reference field="4" count="1" selected="0">
            <x v="16"/>
          </reference>
        </references>
      </pivotArea>
    </format>
    <format dxfId="26">
      <pivotArea dataOnly="0" labelOnly="1" fieldPosition="0">
        <references count="2">
          <reference field="3" count="1">
            <x v="4"/>
          </reference>
          <reference field="4" count="1" selected="0">
            <x v="17"/>
          </reference>
        </references>
      </pivotArea>
    </format>
    <format dxfId="25">
      <pivotArea dataOnly="0" labelOnly="1" fieldPosition="0">
        <references count="2">
          <reference field="3" count="1">
            <x v="7"/>
          </reference>
          <reference field="4" count="1" selected="0">
            <x v="18"/>
          </reference>
        </references>
      </pivotArea>
    </format>
    <format dxfId="24">
      <pivotArea dataOnly="0" labelOnly="1" fieldPosition="0">
        <references count="2">
          <reference field="3" count="1">
            <x v="9"/>
          </reference>
          <reference field="4" count="1" selected="0">
            <x v="19"/>
          </reference>
        </references>
      </pivotArea>
    </format>
    <format dxfId="23">
      <pivotArea dataOnly="0" labelOnly="1" fieldPosition="0">
        <references count="1">
          <reference field="0" count="0"/>
        </references>
      </pivotArea>
    </format>
    <format dxfId="22">
      <pivotArea type="all" dataOnly="0" outline="0" fieldPosition="0"/>
    </format>
    <format dxfId="21">
      <pivotArea outline="0" collapsedLevelsAreSubtotals="1" fieldPosition="0"/>
    </format>
    <format dxfId="20">
      <pivotArea type="origin" dataOnly="0" labelOnly="1" outline="0" fieldPosition="0"/>
    </format>
    <format dxfId="19">
      <pivotArea field="0" type="button" dataOnly="0" labelOnly="1" outline="0" axis="axisCol" fieldPosition="0"/>
    </format>
    <format dxfId="18">
      <pivotArea field="4" type="button" dataOnly="0" labelOnly="1" outline="0" axis="axisRow" fieldPosition="0"/>
    </format>
    <format dxfId="17">
      <pivotArea dataOnly="0" labelOnly="1" fieldPosition="0">
        <references count="1">
          <reference field="4" count="15">
            <x v="2"/>
            <x v="5"/>
            <x v="6"/>
            <x v="7"/>
            <x v="8"/>
            <x v="9"/>
            <x v="10"/>
            <x v="11"/>
            <x v="12"/>
            <x v="13"/>
            <x v="15"/>
            <x v="16"/>
            <x v="17"/>
            <x v="18"/>
            <x v="19"/>
          </reference>
        </references>
      </pivotArea>
    </format>
    <format dxfId="16">
      <pivotArea dataOnly="0" labelOnly="1" grandRow="1" outline="0" fieldPosition="0"/>
    </format>
    <format dxfId="15">
      <pivotArea dataOnly="0" labelOnly="1" fieldPosition="0">
        <references count="2">
          <reference field="3" count="1">
            <x v="0"/>
          </reference>
          <reference field="4" count="1" selected="0">
            <x v="2"/>
          </reference>
        </references>
      </pivotArea>
    </format>
    <format dxfId="14">
      <pivotArea dataOnly="0" labelOnly="1" fieldPosition="0">
        <references count="2">
          <reference field="3" count="1">
            <x v="8"/>
          </reference>
          <reference field="4" count="1" selected="0">
            <x v="5"/>
          </reference>
        </references>
      </pivotArea>
    </format>
    <format dxfId="13">
      <pivotArea dataOnly="0" labelOnly="1" fieldPosition="0">
        <references count="2">
          <reference field="3" count="1">
            <x v="10"/>
          </reference>
          <reference field="4" count="1" selected="0">
            <x v="6"/>
          </reference>
        </references>
      </pivotArea>
    </format>
    <format dxfId="12">
      <pivotArea dataOnly="0" labelOnly="1" fieldPosition="0">
        <references count="2">
          <reference field="3" count="1">
            <x v="2"/>
          </reference>
          <reference field="4" count="1" selected="0">
            <x v="7"/>
          </reference>
        </references>
      </pivotArea>
    </format>
    <format dxfId="11">
      <pivotArea dataOnly="0" labelOnly="1" fieldPosition="0">
        <references count="2">
          <reference field="3" count="1">
            <x v="3"/>
          </reference>
          <reference field="4" count="1" selected="0">
            <x v="8"/>
          </reference>
        </references>
      </pivotArea>
    </format>
    <format dxfId="10">
      <pivotArea dataOnly="0" labelOnly="1" fieldPosition="0">
        <references count="2">
          <reference field="3" count="2">
            <x v="12"/>
            <x v="13"/>
          </reference>
          <reference field="4" count="1" selected="0">
            <x v="9"/>
          </reference>
        </references>
      </pivotArea>
    </format>
    <format dxfId="9">
      <pivotArea dataOnly="0" labelOnly="1" fieldPosition="0">
        <references count="2">
          <reference field="3" count="1">
            <x v="8"/>
          </reference>
          <reference field="4" count="1" selected="0">
            <x v="10"/>
          </reference>
        </references>
      </pivotArea>
    </format>
    <format dxfId="8">
      <pivotArea dataOnly="0" labelOnly="1" fieldPosition="0">
        <references count="2">
          <reference field="3" count="1">
            <x v="8"/>
          </reference>
          <reference field="4" count="1" selected="0">
            <x v="11"/>
          </reference>
        </references>
      </pivotArea>
    </format>
    <format dxfId="7">
      <pivotArea dataOnly="0" labelOnly="1" fieldPosition="0">
        <references count="2">
          <reference field="3" count="1">
            <x v="6"/>
          </reference>
          <reference field="4" count="1" selected="0">
            <x v="12"/>
          </reference>
        </references>
      </pivotArea>
    </format>
    <format dxfId="6">
      <pivotArea dataOnly="0" labelOnly="1" fieldPosition="0">
        <references count="2">
          <reference field="3" count="1">
            <x v="11"/>
          </reference>
          <reference field="4" count="1" selected="0">
            <x v="13"/>
          </reference>
        </references>
      </pivotArea>
    </format>
    <format dxfId="5">
      <pivotArea dataOnly="0" labelOnly="1" fieldPosition="0">
        <references count="2">
          <reference field="3" count="1">
            <x v="7"/>
          </reference>
          <reference field="4" count="1" selected="0">
            <x v="15"/>
          </reference>
        </references>
      </pivotArea>
    </format>
    <format dxfId="4">
      <pivotArea dataOnly="0" labelOnly="1" fieldPosition="0">
        <references count="2">
          <reference field="3" count="1">
            <x v="5"/>
          </reference>
          <reference field="4" count="1" selected="0">
            <x v="16"/>
          </reference>
        </references>
      </pivotArea>
    </format>
    <format dxfId="3">
      <pivotArea dataOnly="0" labelOnly="1" fieldPosition="0">
        <references count="2">
          <reference field="3" count="1">
            <x v="4"/>
          </reference>
          <reference field="4" count="1" selected="0">
            <x v="17"/>
          </reference>
        </references>
      </pivotArea>
    </format>
    <format dxfId="2">
      <pivotArea dataOnly="0" labelOnly="1" fieldPosition="0">
        <references count="2">
          <reference field="3" count="1">
            <x v="7"/>
          </reference>
          <reference field="4" count="1" selected="0">
            <x v="18"/>
          </reference>
        </references>
      </pivotArea>
    </format>
    <format dxfId="1">
      <pivotArea dataOnly="0" labelOnly="1" fieldPosition="0">
        <references count="2">
          <reference field="3" count="1">
            <x v="9"/>
          </reference>
          <reference field="4" count="1" selected="0">
            <x v="19"/>
          </reference>
        </references>
      </pivotArea>
    </format>
    <format dxfId="0">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54">
      <pivotArea collapsedLevelsAreSubtotals="1" fieldPosition="0">
        <references count="1">
          <reference field="8" count="0"/>
        </references>
      </pivotArea>
    </format>
    <format dxfId="53">
      <pivotArea field="8" type="button" dataOnly="0" labelOnly="1" outline="0" axis="axisRow" fieldPosition="0"/>
    </format>
    <format dxfId="52">
      <pivotArea dataOnly="0" labelOnly="1" fieldPosition="0">
        <references count="1">
          <reference field="8" count="0"/>
        </references>
      </pivotArea>
    </format>
    <format dxfId="51">
      <pivotArea dataOnly="0" labelOnly="1" outline="0" axis="axisValues" fieldPosition="0"/>
    </format>
    <format dxfId="50">
      <pivotArea grandRow="1" outline="0" collapsedLevelsAreSubtotals="1" fieldPosition="0"/>
    </format>
    <format dxfId="49">
      <pivotArea dataOnly="0" labelOnly="1" grandRow="1" outline="0" fieldPosition="0"/>
    </format>
    <format dxfId="48">
      <pivotArea dataOnly="0" labelOnly="1" fieldPosition="0">
        <references count="1">
          <reference field="1" count="0"/>
        </references>
      </pivotArea>
    </format>
    <format dxfId="47">
      <pivotArea field="1" type="button" dataOnly="0" labelOnly="1" outline="0" axis="axisCol" fieldPosition="0"/>
    </format>
    <format dxfId="46">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61">
      <pivotArea collapsedLevelsAreSubtotals="1" fieldPosition="0">
        <references count="1">
          <reference field="3" count="0"/>
        </references>
      </pivotArea>
    </format>
    <format dxfId="60">
      <pivotArea field="3" type="button" dataOnly="0" labelOnly="1" outline="0" axis="axisRow" fieldPosition="0"/>
    </format>
    <format dxfId="59">
      <pivotArea dataOnly="0" labelOnly="1" fieldPosition="0">
        <references count="1">
          <reference field="3" count="0"/>
        </references>
      </pivotArea>
    </format>
    <format dxfId="58">
      <pivotArea dataOnly="0" labelOnly="1" outline="0" axis="axisValues" fieldPosition="0"/>
    </format>
    <format dxfId="57">
      <pivotArea grandRow="1" outline="0" collapsedLevelsAreSubtotals="1" fieldPosition="0"/>
    </format>
    <format dxfId="56">
      <pivotArea dataOnly="0" labelOnly="1" fieldPosition="0">
        <references count="1">
          <reference field="0" count="0"/>
        </references>
      </pivotArea>
    </format>
    <format dxfId="55">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70">
      <pivotArea type="all" dataOnly="0" outline="0" fieldPosition="0"/>
    </format>
    <format dxfId="69">
      <pivotArea outline="0" collapsedLevelsAreSubtotals="1" fieldPosition="0"/>
    </format>
    <format dxfId="68">
      <pivotArea type="origin" dataOnly="0" labelOnly="1" outline="0" fieldPosition="0"/>
    </format>
    <format dxfId="67">
      <pivotArea field="1" type="button" dataOnly="0" labelOnly="1" outline="0" axis="axisCol" fieldPosition="0"/>
    </format>
    <format dxfId="66">
      <pivotArea type="topRight" dataOnly="0" labelOnly="1" outline="0" fieldPosition="0"/>
    </format>
    <format dxfId="65">
      <pivotArea field="3" type="button" dataOnly="0" labelOnly="1" outline="0" axis="axisRow" fieldPosition="0"/>
    </format>
    <format dxfId="64">
      <pivotArea dataOnly="0" labelOnly="1" fieldPosition="0">
        <references count="1">
          <reference field="3" count="0"/>
        </references>
      </pivotArea>
    </format>
    <format dxfId="63">
      <pivotArea dataOnly="0" labelOnly="1" fieldPosition="0">
        <references count="1">
          <reference field="1" count="0"/>
        </references>
      </pivotArea>
    </format>
    <format dxfId="62">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76">
      <pivotArea collapsedLevelsAreSubtotals="1" fieldPosition="0">
        <references count="1">
          <reference field="0" count="0"/>
        </references>
      </pivotArea>
    </format>
    <format dxfId="75">
      <pivotArea field="0" type="button" dataOnly="0" labelOnly="1" outline="0" axis="axisRow" fieldPosition="0"/>
    </format>
    <format dxfId="74">
      <pivotArea dataOnly="0" labelOnly="1" fieldPosition="0">
        <references count="1">
          <reference field="0" count="0"/>
        </references>
      </pivotArea>
    </format>
    <format dxfId="73">
      <pivotArea dataOnly="0" labelOnly="1" fieldPosition="0">
        <references count="1">
          <reference field="1" count="0"/>
        </references>
      </pivotArea>
    </format>
    <format dxfId="72">
      <pivotArea dataOnly="0" labelOnly="1" grandCol="1" outline="0" fieldPosition="0"/>
    </format>
    <format dxfId="71">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94">
      <pivotArea collapsedLevelsAreSubtotals="1" fieldPosition="0">
        <references count="1">
          <reference field="3" count="1">
            <x v="0"/>
          </reference>
        </references>
      </pivotArea>
    </format>
    <format dxfId="93">
      <pivotArea collapsedLevelsAreSubtotals="1" fieldPosition="0">
        <references count="2">
          <reference field="2" count="2">
            <x v="6"/>
            <x v="16"/>
          </reference>
          <reference field="3" count="1" selected="0">
            <x v="0"/>
          </reference>
        </references>
      </pivotArea>
    </format>
    <format dxfId="92">
      <pivotArea collapsedLevelsAreSubtotals="1" fieldPosition="0">
        <references count="1">
          <reference field="3" count="1">
            <x v="1"/>
          </reference>
        </references>
      </pivotArea>
    </format>
    <format dxfId="91">
      <pivotArea collapsedLevelsAreSubtotals="1" fieldPosition="0">
        <references count="2">
          <reference field="2" count="2">
            <x v="9"/>
            <x v="18"/>
          </reference>
          <reference field="3" count="1" selected="0">
            <x v="1"/>
          </reference>
        </references>
      </pivotArea>
    </format>
    <format dxfId="90">
      <pivotArea collapsedLevelsAreSubtotals="1" fieldPosition="0">
        <references count="1">
          <reference field="3" count="1">
            <x v="2"/>
          </reference>
        </references>
      </pivotArea>
    </format>
    <format dxfId="89">
      <pivotArea collapsedLevelsAreSubtotals="1" fieldPosition="0">
        <references count="2">
          <reference field="2" count="2">
            <x v="2"/>
            <x v="12"/>
          </reference>
          <reference field="3" count="1" selected="0">
            <x v="2"/>
          </reference>
        </references>
      </pivotArea>
    </format>
    <format dxfId="88">
      <pivotArea type="origin" dataOnly="0" labelOnly="1" outline="0" fieldPosition="0"/>
    </format>
    <format dxfId="87">
      <pivotArea field="1" type="button" dataOnly="0" labelOnly="1" outline="0" axis="axisCol" fieldPosition="0"/>
    </format>
    <format dxfId="86">
      <pivotArea field="-2" type="button" dataOnly="0" labelOnly="1" outline="0" axis="axisCol" fieldPosition="1"/>
    </format>
    <format dxfId="85">
      <pivotArea field="3" type="button" dataOnly="0" labelOnly="1" outline="0" axis="axisRow" fieldPosition="0"/>
    </format>
    <format dxfId="84">
      <pivotArea dataOnly="0" labelOnly="1" fieldPosition="0">
        <references count="1">
          <reference field="3" count="0"/>
        </references>
      </pivotArea>
    </format>
    <format dxfId="83">
      <pivotArea dataOnly="0" labelOnly="1" fieldPosition="0">
        <references count="2">
          <reference field="2" count="2">
            <x v="6"/>
            <x v="16"/>
          </reference>
          <reference field="3" count="1" selected="0">
            <x v="0"/>
          </reference>
        </references>
      </pivotArea>
    </format>
    <format dxfId="82">
      <pivotArea dataOnly="0" labelOnly="1" fieldPosition="0">
        <references count="2">
          <reference field="2" count="2">
            <x v="9"/>
            <x v="18"/>
          </reference>
          <reference field="3" count="1" selected="0">
            <x v="1"/>
          </reference>
        </references>
      </pivotArea>
    </format>
    <format dxfId="81">
      <pivotArea dataOnly="0" labelOnly="1" fieldPosition="0">
        <references count="2">
          <reference field="2" count="2">
            <x v="2"/>
            <x v="12"/>
          </reference>
          <reference field="3" count="1" selected="0">
            <x v="2"/>
          </reference>
        </references>
      </pivotArea>
    </format>
    <format dxfId="80">
      <pivotArea dataOnly="0" labelOnly="1" fieldPosition="0">
        <references count="1">
          <reference field="1" count="0"/>
        </references>
      </pivotArea>
    </format>
    <format dxfId="79">
      <pivotArea dataOnly="0" labelOnly="1" outline="0" fieldPosition="0">
        <references count="2">
          <reference field="4294967294" count="2">
            <x v="0"/>
            <x v="1"/>
          </reference>
          <reference field="1" count="0" selected="0"/>
        </references>
      </pivotArea>
    </format>
    <format dxfId="78">
      <pivotArea grandRow="1" outline="0" collapsedLevelsAreSubtotals="1" fieldPosition="0"/>
    </format>
    <format dxfId="77">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83"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filterMode="1">
    <tabColor theme="6" tint="0.39997558519241921"/>
  </sheetPr>
  <dimension ref="A1:J24"/>
  <sheetViews>
    <sheetView zoomScaleNormal="100" workbookViewId="0">
      <selection activeCell="G30" sqref="G30"/>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hidden="1"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hidden="1"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hidden="1" x14ac:dyDescent="0.25">
      <c r="A6" s="2" t="s">
        <v>34</v>
      </c>
      <c r="B6" s="2" t="s">
        <v>18</v>
      </c>
      <c r="C6" s="2" t="s">
        <v>149</v>
      </c>
      <c r="D6" s="2" t="s">
        <v>156</v>
      </c>
      <c r="E6" s="2" t="s">
        <v>30</v>
      </c>
      <c r="F6" s="2" t="s">
        <v>38</v>
      </c>
      <c r="G6" s="6">
        <v>16600000</v>
      </c>
      <c r="H6" s="5">
        <v>25</v>
      </c>
      <c r="I6" s="5" t="str">
        <f t="shared" si="0"/>
        <v>Jovem (21-25 anos)</v>
      </c>
      <c r="J6" s="2" t="s">
        <v>16</v>
      </c>
    </row>
    <row r="7" spans="1:10" hidden="1"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hidden="1"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hidden="1" x14ac:dyDescent="0.25">
      <c r="A10" s="2" t="s">
        <v>55</v>
      </c>
      <c r="B10" s="2" t="s">
        <v>18</v>
      </c>
      <c r="C10" s="2" t="s">
        <v>56</v>
      </c>
      <c r="D10" s="2" t="s">
        <v>70</v>
      </c>
      <c r="E10" s="2" t="s">
        <v>151</v>
      </c>
      <c r="F10" s="2" t="s">
        <v>59</v>
      </c>
      <c r="G10" s="6">
        <v>52000000</v>
      </c>
      <c r="H10" s="5">
        <v>23</v>
      </c>
      <c r="I10" s="5" t="str">
        <f t="shared" si="0"/>
        <v>Jovem (21-25 anos)</v>
      </c>
      <c r="J10" s="2" t="s">
        <v>16</v>
      </c>
    </row>
    <row r="11" spans="1:10" hidden="1"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hidden="1" x14ac:dyDescent="0.25">
      <c r="A13" s="2" t="s">
        <v>55</v>
      </c>
      <c r="B13" s="2" t="s">
        <v>18</v>
      </c>
      <c r="C13" s="2" t="s">
        <v>127</v>
      </c>
      <c r="D13" s="2" t="s">
        <v>156</v>
      </c>
      <c r="E13" s="2" t="s">
        <v>129</v>
      </c>
      <c r="F13" s="2" t="s">
        <v>65</v>
      </c>
      <c r="G13" s="6">
        <v>19000000</v>
      </c>
      <c r="H13" s="5">
        <v>24</v>
      </c>
      <c r="I13" s="5" t="str">
        <f t="shared" si="0"/>
        <v>Jovem (21-25 anos)</v>
      </c>
      <c r="J13" s="2" t="s">
        <v>16</v>
      </c>
    </row>
    <row r="14" spans="1:10" hidden="1" x14ac:dyDescent="0.25">
      <c r="A14" s="2" t="s">
        <v>75</v>
      </c>
      <c r="B14" s="2" t="s">
        <v>18</v>
      </c>
      <c r="C14" s="2" t="s">
        <v>76</v>
      </c>
      <c r="D14" s="2" t="s">
        <v>77</v>
      </c>
      <c r="E14" s="2" t="s">
        <v>78</v>
      </c>
      <c r="F14" s="2" t="s">
        <v>79</v>
      </c>
      <c r="G14" s="6">
        <v>58000000</v>
      </c>
      <c r="H14" s="5">
        <v>25</v>
      </c>
      <c r="I14" s="5" t="str">
        <f t="shared" si="0"/>
        <v>Jovem (21-25 anos)</v>
      </c>
      <c r="J14" s="2" t="s">
        <v>16</v>
      </c>
    </row>
    <row r="15" spans="1:10" hidden="1"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hidden="1" x14ac:dyDescent="0.25">
      <c r="A17" s="2" t="s">
        <v>75</v>
      </c>
      <c r="B17" s="2" t="s">
        <v>18</v>
      </c>
      <c r="C17" s="2" t="s">
        <v>148</v>
      </c>
      <c r="D17" s="2" t="s">
        <v>77</v>
      </c>
      <c r="E17" s="2" t="s">
        <v>124</v>
      </c>
      <c r="F17" s="2" t="s">
        <v>153</v>
      </c>
      <c r="G17" s="6">
        <v>0</v>
      </c>
      <c r="H17" s="5">
        <v>33</v>
      </c>
      <c r="I17" s="5" t="str">
        <f t="shared" si="0"/>
        <v>Veterano (31+ anos)</v>
      </c>
      <c r="J17" s="2" t="s">
        <v>53</v>
      </c>
    </row>
    <row r="18" spans="1:10" hidden="1" x14ac:dyDescent="0.25">
      <c r="A18" s="2" t="s">
        <v>93</v>
      </c>
      <c r="B18" s="2" t="s">
        <v>18</v>
      </c>
      <c r="C18" s="2" t="s">
        <v>95</v>
      </c>
      <c r="D18" s="2" t="s">
        <v>156</v>
      </c>
      <c r="E18" s="2" t="s">
        <v>97</v>
      </c>
      <c r="F18" s="2" t="s">
        <v>98</v>
      </c>
      <c r="G18" s="6">
        <v>46300000</v>
      </c>
      <c r="H18" s="5">
        <v>26</v>
      </c>
      <c r="I18" s="5" t="str">
        <f t="shared" si="0"/>
        <v>Experiente (26-30 anos)</v>
      </c>
      <c r="J18" s="2" t="s">
        <v>16</v>
      </c>
    </row>
    <row r="19" spans="1:10" hidden="1"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hidden="1" x14ac:dyDescent="0.25">
      <c r="A21" s="2" t="s">
        <v>93</v>
      </c>
      <c r="B21" s="2" t="s">
        <v>18</v>
      </c>
      <c r="C21" s="2" t="s">
        <v>136</v>
      </c>
      <c r="D21" s="2" t="s">
        <v>77</v>
      </c>
      <c r="E21" s="2" t="s">
        <v>152</v>
      </c>
      <c r="F21" s="2" t="s">
        <v>139</v>
      </c>
      <c r="G21" s="6">
        <v>47500000</v>
      </c>
      <c r="H21" s="5">
        <v>22</v>
      </c>
      <c r="I21" s="5" t="str">
        <f t="shared" si="0"/>
        <v>Jovem (21-25 anos)</v>
      </c>
      <c r="J21" s="2" t="s">
        <v>16</v>
      </c>
    </row>
    <row r="22" spans="1:10" hidden="1" x14ac:dyDescent="0.25">
      <c r="A22" s="2" t="s">
        <v>109</v>
      </c>
      <c r="B22" s="2" t="s">
        <v>18</v>
      </c>
      <c r="C22" s="2" t="s">
        <v>110</v>
      </c>
      <c r="D22" s="2" t="s">
        <v>77</v>
      </c>
      <c r="E22" s="2" t="s">
        <v>97</v>
      </c>
      <c r="F22" s="2" t="s">
        <v>112</v>
      </c>
      <c r="G22" s="6">
        <v>65000000</v>
      </c>
      <c r="H22" s="5">
        <v>26</v>
      </c>
      <c r="I22" s="5" t="str">
        <f t="shared" si="0"/>
        <v>Experiente (26-30 anos)</v>
      </c>
      <c r="J22" s="2" t="s">
        <v>16</v>
      </c>
    </row>
    <row r="23" spans="1:10" hidden="1"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filterColumn colId="1">
      <filters>
        <filter val="Saída"/>
      </filters>
    </filterColumn>
  </autoFilter>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abSelected="1" topLeftCell="BI58" zoomScale="77" zoomScaleNormal="77"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77"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2026-07-23T21:32:03Z</dcterms:modified>
</cp:coreProperties>
</file>