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79BB8CF1-1D39-44FB-8DA8-FE292C7ACB79}" xr6:coauthVersionLast="47" xr6:coauthVersionMax="47" xr10:uidLastSave="{00000000-0000-0000-0000-000000000000}"/>
  <bookViews>
    <workbookView xWindow="-120" yWindow="-120" windowWidth="20730" windowHeight="11040" firstSheet="1" activeTab="4"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 i="6" l="1"/>
  <c r="AC18" i="6"/>
  <c r="AC19" i="6"/>
  <c r="AC20" i="6"/>
  <c r="AC16" i="6"/>
  <c r="I10" i="4"/>
  <c r="I11" i="4"/>
  <c r="I12" i="4"/>
  <c r="I13" i="4"/>
  <c r="I14" i="4"/>
  <c r="I15" i="4"/>
  <c r="I16" i="4"/>
  <c r="I17" i="4"/>
  <c r="I18" i="4"/>
  <c r="I19" i="4"/>
  <c r="I20" i="4"/>
  <c r="I21" i="4"/>
  <c r="I22" i="4"/>
  <c r="I23" i="4"/>
  <c r="I24" i="4"/>
  <c r="I3" i="4"/>
  <c r="I4" i="4"/>
  <c r="I5" i="4"/>
  <c r="I6" i="4"/>
  <c r="I7" i="4"/>
  <c r="I8" i="4"/>
  <c r="I9" i="4"/>
  <c r="S16" i="6"/>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<sst xmlns="http://schemas.openxmlformats.org/spreadsheetml/2006/main" count="488" uniqueCount="185">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</sst>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cellXfs>
  <cellStyles count="2">
    <cellStyle name="Normal" xfId="0" builtinId="0"/>
    <cellStyle name="Porcentagem" xfId="1" builtinId="5"/>
  </cellStyles>
  <dxfs count="77">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Defensor</c:v>
                </c:pt>
                <c:pt idx="1">
                  <c:v>Atacante</c:v>
                </c:pt>
                <c:pt idx="2">
                  <c:v>Meio-campista</c:v>
                </c:pt>
              </c:strCache>
            </c:strRef>
          </c:cat>
          <c:val>
            <c:numRef>
              <c:f>Análises!$P$16:$P$19</c:f>
              <c:numCache>
                <c:formatCode>[$£-809]#,##0.00</c:formatCode>
                <c:ptCount val="3"/>
                <c:pt idx="0">
                  <c:v>138800000</c:v>
                </c:pt>
                <c:pt idx="1">
                  <c:v>200500000</c:v>
                </c:pt>
                <c:pt idx="2">
                  <c:v>213900000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0.25090383224873464</c:v>
                </c:pt>
                <c:pt idx="1">
                  <c:v>0.36243673174258856</c:v>
                </c:pt>
                <c:pt idx="2">
                  <c:v>0.3866594360086768</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783180"/>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8975490"/>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 perfil</a:t>
          </a:r>
          <a:r>
            <a:rPr lang="pt-BR" sz="1200" b="1" baseline="0"/>
            <a:t> das contratações mudou ao longo das temporadas analisadas?</a:t>
          </a:r>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6072945"/>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60729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18</xdr:col>
      <xdr:colOff>96703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s v="Tanguy Ndombélé"/>
    <x v="0"/>
    <s v="França"/>
    <s v="Lyon"/>
    <n v="62000000"/>
    <x v="0"/>
    <x v="0"/>
    <s v="Compra"/>
  </r>
  <r>
    <x v="0"/>
    <x v="0"/>
    <s v="Steven Bergwijn"/>
    <x v="1"/>
    <s v="Holanda"/>
    <s v="PSV Eindhoven"/>
    <n v="30000000"/>
    <x v="0"/>
    <x v="0"/>
    <s v="Compra"/>
  </r>
  <r>
    <x v="0"/>
    <x v="1"/>
    <s v="Christian Eriksen"/>
    <x v="0"/>
    <s v="Dinamarca"/>
    <s v="Inter Milan"/>
    <n v="27000000"/>
    <x v="1"/>
    <x v="1"/>
    <s v="Venda"/>
  </r>
  <r>
    <x v="1"/>
    <x v="0"/>
    <s v="Pierre-Emile Højbjerg"/>
    <x v="0"/>
    <s v="Dinamarca"/>
    <s v="Southampton"/>
    <n v="16600000"/>
    <x v="2"/>
    <x v="0"/>
    <s v="Compra"/>
  </r>
  <r>
    <x v="1"/>
    <x v="0"/>
    <s v="Sergio Reguilón"/>
    <x v="2"/>
    <s v="Espanha"/>
    <s v="Real Madrid"/>
    <n v="30000000"/>
    <x v="3"/>
    <x v="0"/>
    <s v="Compra"/>
  </r>
  <r>
    <x v="1"/>
    <x v="1"/>
    <s v="Jan Vertonghen"/>
    <x v="2"/>
    <s v="Bélgica"/>
    <s v="Benfica"/>
    <n v="0"/>
    <x v="4"/>
    <x v="2"/>
    <s v="Livre"/>
  </r>
  <r>
    <x v="1"/>
    <x v="0"/>
    <s v="Matt Doherty"/>
    <x v="2"/>
    <s v="Irlanda"/>
    <s v="Wolves"/>
    <n v="16800000"/>
    <x v="5"/>
    <x v="1"/>
    <s v="Compra"/>
  </r>
  <r>
    <x v="2"/>
    <x v="0"/>
    <s v="Cristian Romero"/>
    <x v="2"/>
    <s v="Argentina"/>
    <s v="Atalanta"/>
    <n v="52000000"/>
    <x v="3"/>
    <x v="0"/>
    <s v="Compra"/>
  </r>
  <r>
    <x v="2"/>
    <x v="0"/>
    <s v="Dejan Kulusevski"/>
    <x v="1"/>
    <s v="Suécia"/>
    <s v="Juventus"/>
    <n v="0"/>
    <x v="6"/>
    <x v="0"/>
    <s v="Empréstimo"/>
  </r>
  <r>
    <x v="2"/>
    <x v="1"/>
    <s v="Toby Alderweireld"/>
    <x v="2"/>
    <s v="Bélgica"/>
    <s v="Al Duhail"/>
    <n v="13000000"/>
    <x v="7"/>
    <x v="2"/>
    <s v="Venda"/>
  </r>
  <r>
    <x v="2"/>
    <x v="0"/>
    <s v="Rodrigo Bentancur"/>
    <x v="0"/>
    <s v="Uruguai"/>
    <s v="Juventus"/>
    <n v="19000000"/>
    <x v="8"/>
    <x v="0"/>
    <s v="Compra"/>
  </r>
  <r>
    <x v="3"/>
    <x v="0"/>
    <s v="Richarlison"/>
    <x v="1"/>
    <s v="Brasil"/>
    <s v="Everton"/>
    <n v="58000000"/>
    <x v="2"/>
    <x v="0"/>
    <s v="Compra"/>
  </r>
  <r>
    <x v="3"/>
    <x v="0"/>
    <s v="Yves Bissouma"/>
    <x v="0"/>
    <s v="Mali"/>
    <s v="Brighton"/>
    <n v="29000000"/>
    <x v="2"/>
    <x v="0"/>
    <s v="Compra"/>
  </r>
  <r>
    <x v="3"/>
    <x v="1"/>
    <s v="Steven Bergwijn"/>
    <x v="1"/>
    <s v="Holanda"/>
    <s v="Ajax"/>
    <n v="31300000"/>
    <x v="8"/>
    <x v="0"/>
    <s v="Venda"/>
  </r>
  <r>
    <x v="3"/>
    <x v="0"/>
    <s v="Ivan Perišić"/>
    <x v="1"/>
    <s v="Croácia"/>
    <s v="Inter Milan"/>
    <n v="0"/>
    <x v="4"/>
    <x v="2"/>
    <s v="Livre"/>
  </r>
  <r>
    <x v="4"/>
    <x v="0"/>
    <s v="James Maddison"/>
    <x v="0"/>
    <s v="Inglaterra"/>
    <s v="Leicester City"/>
    <n v="46300000"/>
    <x v="9"/>
    <x v="1"/>
    <s v="Compra"/>
  </r>
  <r>
    <x v="4"/>
    <x v="0"/>
    <s v="Micky van de Ven"/>
    <x v="2"/>
    <s v="Holanda"/>
    <s v="Wolfsburg"/>
    <n v="40000000"/>
    <x v="0"/>
    <x v="0"/>
    <s v="Compra"/>
  </r>
  <r>
    <x v="4"/>
    <x v="1"/>
    <s v="Harry Kane"/>
    <x v="1"/>
    <s v="Inglaterra"/>
    <s v="Bayern München"/>
    <n v="95000000"/>
    <x v="10"/>
    <x v="1"/>
    <s v="Venda"/>
  </r>
  <r>
    <x v="4"/>
    <x v="0"/>
    <s v="Brennan Johnson"/>
    <x v="1"/>
    <s v="País De Gales"/>
    <s v="Nottingham Forest"/>
    <n v="47500000"/>
    <x v="0"/>
    <x v="0"/>
    <s v="Compra"/>
  </r>
  <r>
    <x v="5"/>
    <x v="0"/>
    <s v="Dominic Solanke"/>
    <x v="1"/>
    <s v="Inglaterra"/>
    <s v="Bournemouth"/>
    <n v="65000000"/>
    <x v="9"/>
    <x v="1"/>
    <s v="Compra"/>
  </r>
  <r>
    <x v="5"/>
    <x v="0"/>
    <s v="Archie Gray"/>
    <x v="0"/>
    <s v="Inglaterra"/>
    <s v="Leeds United"/>
    <n v="41000000"/>
    <x v="11"/>
    <x v="3"/>
    <s v="Compra"/>
  </r>
  <r>
    <x v="5"/>
    <x v="1"/>
    <s v="Pierre-Emile Højbjerg"/>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a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1"/>
    </i>
    <i>
      <x/>
    </i>
    <i>
      <x v="2"/>
    </i>
    <i t="grand">
      <x/>
    </i>
  </rowItems>
  <colFields count="1">
    <field x="1"/>
  </colFields>
  <colItems count="1">
    <i>
      <x v="1"/>
    </i>
  </colItems>
  <dataFields count="1">
    <dataField name="Soma do Valor das Transferências" fld="6" baseField="0" baseItem="0" numFmtId="164"/>
  </dataFields>
  <formats count="9">
    <format dxfId="8">
      <pivotArea type="all" dataOnly="0" outline="0" fieldPosition="0"/>
    </format>
    <format dxfId="7">
      <pivotArea outline="0" collapsedLevelsAreSubtotals="1" fieldPosition="0"/>
    </format>
    <format dxfId="6">
      <pivotArea type="origin" dataOnly="0" labelOnly="1" outline="0" fieldPosition="0"/>
    </format>
    <format dxfId="5">
      <pivotArea field="1" type="button" dataOnly="0" labelOnly="1" outline="0" axis="axisCol" fieldPosition="0"/>
    </format>
    <format dxfId="4">
      <pivotArea type="topRight" dataOnly="0" labelOnly="1" outline="0" fieldPosition="0"/>
    </format>
    <format dxfId="3">
      <pivotArea field="3" type="button" dataOnly="0" labelOnly="1" outline="0" axis="axisRow" fieldPosition="0"/>
    </format>
    <format dxfId="2">
      <pivotArea dataOnly="0" labelOnly="1" fieldPosition="0">
        <references count="1">
          <reference field="3" count="0"/>
        </references>
      </pivotArea>
    </format>
    <format dxfId="1">
      <pivotArea dataOnly="0" labelOnly="1" fieldPosition="0">
        <references count="1">
          <reference field="1" count="0"/>
        </references>
      </pivotArea>
    </format>
    <format dxfId="0">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54">
      <pivotArea type="all" dataOnly="0" outline="0" fieldPosition="0"/>
    </format>
    <format dxfId="53">
      <pivotArea outline="0" collapsedLevelsAreSubtotals="1" fieldPosition="0"/>
    </format>
    <format dxfId="52">
      <pivotArea type="origin" dataOnly="0" labelOnly="1" outline="0" fieldPosition="0"/>
    </format>
    <format dxfId="51">
      <pivotArea field="0" type="button" dataOnly="0" labelOnly="1" outline="0" axis="axisCol" fieldPosition="0"/>
    </format>
    <format dxfId="50">
      <pivotArea field="4" type="button" dataOnly="0" labelOnly="1" outline="0" axis="axisRow" fieldPosition="0"/>
    </format>
    <format dxfId="49">
      <pivotArea dataOnly="0" labelOnly="1" fieldPosition="0">
        <references count="1">
          <reference field="4" count="15">
            <x v="2"/>
            <x v="5"/>
            <x v="6"/>
            <x v="7"/>
            <x v="8"/>
            <x v="9"/>
            <x v="10"/>
            <x v="11"/>
            <x v="12"/>
            <x v="13"/>
            <x v="15"/>
            <x v="16"/>
            <x v="17"/>
            <x v="18"/>
            <x v="19"/>
          </reference>
        </references>
      </pivotArea>
    </format>
    <format dxfId="48">
      <pivotArea dataOnly="0" labelOnly="1" grandRow="1" outline="0" fieldPosition="0"/>
    </format>
    <format dxfId="47">
      <pivotArea dataOnly="0" labelOnly="1" fieldPosition="0">
        <references count="2">
          <reference field="3" count="1">
            <x v="0"/>
          </reference>
          <reference field="4" count="1" selected="0">
            <x v="2"/>
          </reference>
        </references>
      </pivotArea>
    </format>
    <format dxfId="46">
      <pivotArea dataOnly="0" labelOnly="1" fieldPosition="0">
        <references count="2">
          <reference field="3" count="1">
            <x v="8"/>
          </reference>
          <reference field="4" count="1" selected="0">
            <x v="5"/>
          </reference>
        </references>
      </pivotArea>
    </format>
    <format dxfId="45">
      <pivotArea dataOnly="0" labelOnly="1" fieldPosition="0">
        <references count="2">
          <reference field="3" count="1">
            <x v="10"/>
          </reference>
          <reference field="4" count="1" selected="0">
            <x v="6"/>
          </reference>
        </references>
      </pivotArea>
    </format>
    <format dxfId="44">
      <pivotArea dataOnly="0" labelOnly="1" fieldPosition="0">
        <references count="2">
          <reference field="3" count="1">
            <x v="2"/>
          </reference>
          <reference field="4" count="1" selected="0">
            <x v="7"/>
          </reference>
        </references>
      </pivotArea>
    </format>
    <format dxfId="43">
      <pivotArea dataOnly="0" labelOnly="1" fieldPosition="0">
        <references count="2">
          <reference field="3" count="1">
            <x v="3"/>
          </reference>
          <reference field="4" count="1" selected="0">
            <x v="8"/>
          </reference>
        </references>
      </pivotArea>
    </format>
    <format dxfId="42">
      <pivotArea dataOnly="0" labelOnly="1" fieldPosition="0">
        <references count="2">
          <reference field="3" count="2">
            <x v="12"/>
            <x v="13"/>
          </reference>
          <reference field="4" count="1" selected="0">
            <x v="9"/>
          </reference>
        </references>
      </pivotArea>
    </format>
    <format dxfId="41">
      <pivotArea dataOnly="0" labelOnly="1" fieldPosition="0">
        <references count="2">
          <reference field="3" count="1">
            <x v="8"/>
          </reference>
          <reference field="4" count="1" selected="0">
            <x v="10"/>
          </reference>
        </references>
      </pivotArea>
    </format>
    <format dxfId="40">
      <pivotArea dataOnly="0" labelOnly="1" fieldPosition="0">
        <references count="2">
          <reference field="3" count="1">
            <x v="8"/>
          </reference>
          <reference field="4" count="1" selected="0">
            <x v="11"/>
          </reference>
        </references>
      </pivotArea>
    </format>
    <format dxfId="39">
      <pivotArea dataOnly="0" labelOnly="1" fieldPosition="0">
        <references count="2">
          <reference field="3" count="1">
            <x v="6"/>
          </reference>
          <reference field="4" count="1" selected="0">
            <x v="12"/>
          </reference>
        </references>
      </pivotArea>
    </format>
    <format dxfId="38">
      <pivotArea dataOnly="0" labelOnly="1" fieldPosition="0">
        <references count="2">
          <reference field="3" count="1">
            <x v="11"/>
          </reference>
          <reference field="4" count="1" selected="0">
            <x v="13"/>
          </reference>
        </references>
      </pivotArea>
    </format>
    <format dxfId="37">
      <pivotArea dataOnly="0" labelOnly="1" fieldPosition="0">
        <references count="2">
          <reference field="3" count="1">
            <x v="7"/>
          </reference>
          <reference field="4" count="1" selected="0">
            <x v="15"/>
          </reference>
        </references>
      </pivotArea>
    </format>
    <format dxfId="36">
      <pivotArea dataOnly="0" labelOnly="1" fieldPosition="0">
        <references count="2">
          <reference field="3" count="1">
            <x v="5"/>
          </reference>
          <reference field="4" count="1" selected="0">
            <x v="16"/>
          </reference>
        </references>
      </pivotArea>
    </format>
    <format dxfId="35">
      <pivotArea dataOnly="0" labelOnly="1" fieldPosition="0">
        <references count="2">
          <reference field="3" count="1">
            <x v="4"/>
          </reference>
          <reference field="4" count="1" selected="0">
            <x v="17"/>
          </reference>
        </references>
      </pivotArea>
    </format>
    <format dxfId="34">
      <pivotArea dataOnly="0" labelOnly="1" fieldPosition="0">
        <references count="2">
          <reference field="3" count="1">
            <x v="7"/>
          </reference>
          <reference field="4" count="1" selected="0">
            <x v="18"/>
          </reference>
        </references>
      </pivotArea>
    </format>
    <format dxfId="33">
      <pivotArea dataOnly="0" labelOnly="1" fieldPosition="0">
        <references count="2">
          <reference field="3" count="1">
            <x v="9"/>
          </reference>
          <reference field="4" count="1" selected="0">
            <x v="19"/>
          </reference>
        </references>
      </pivotArea>
    </format>
    <format dxfId="32">
      <pivotArea dataOnly="0" labelOnly="1" fieldPosition="0">
        <references count="1">
          <reference field="0" count="0"/>
        </references>
      </pivotArea>
    </format>
    <format dxfId="31">
      <pivotArea type="all" dataOnly="0" outline="0" fieldPosition="0"/>
    </format>
    <format dxfId="30">
      <pivotArea outline="0" collapsedLevelsAreSubtotals="1" fieldPosition="0"/>
    </format>
    <format dxfId="29">
      <pivotArea type="origin" dataOnly="0" labelOnly="1" outline="0" fieldPosition="0"/>
    </format>
    <format dxfId="28">
      <pivotArea field="0" type="button" dataOnly="0" labelOnly="1" outline="0" axis="axisCol" fieldPosition="0"/>
    </format>
    <format dxfId="27">
      <pivotArea field="4" type="button" dataOnly="0" labelOnly="1" outline="0" axis="axisRow" fieldPosition="0"/>
    </format>
    <format dxfId="26">
      <pivotArea dataOnly="0" labelOnly="1" fieldPosition="0">
        <references count="1">
          <reference field="4" count="15">
            <x v="2"/>
            <x v="5"/>
            <x v="6"/>
            <x v="7"/>
            <x v="8"/>
            <x v="9"/>
            <x v="10"/>
            <x v="11"/>
            <x v="12"/>
            <x v="13"/>
            <x v="15"/>
            <x v="16"/>
            <x v="17"/>
            <x v="18"/>
            <x v="19"/>
          </reference>
        </references>
      </pivotArea>
    </format>
    <format dxfId="25">
      <pivotArea dataOnly="0" labelOnly="1" grandRow="1" outline="0" fieldPosition="0"/>
    </format>
    <format dxfId="24">
      <pivotArea dataOnly="0" labelOnly="1" fieldPosition="0">
        <references count="2">
          <reference field="3" count="1">
            <x v="0"/>
          </reference>
          <reference field="4" count="1" selected="0">
            <x v="2"/>
          </reference>
        </references>
      </pivotArea>
    </format>
    <format dxfId="23">
      <pivotArea dataOnly="0" labelOnly="1" fieldPosition="0">
        <references count="2">
          <reference field="3" count="1">
            <x v="8"/>
          </reference>
          <reference field="4" count="1" selected="0">
            <x v="5"/>
          </reference>
        </references>
      </pivotArea>
    </format>
    <format dxfId="22">
      <pivotArea dataOnly="0" labelOnly="1" fieldPosition="0">
        <references count="2">
          <reference field="3" count="1">
            <x v="10"/>
          </reference>
          <reference field="4" count="1" selected="0">
            <x v="6"/>
          </reference>
        </references>
      </pivotArea>
    </format>
    <format dxfId="21">
      <pivotArea dataOnly="0" labelOnly="1" fieldPosition="0">
        <references count="2">
          <reference field="3" count="1">
            <x v="2"/>
          </reference>
          <reference field="4" count="1" selected="0">
            <x v="7"/>
          </reference>
        </references>
      </pivotArea>
    </format>
    <format dxfId="20">
      <pivotArea dataOnly="0" labelOnly="1" fieldPosition="0">
        <references count="2">
          <reference field="3" count="1">
            <x v="3"/>
          </reference>
          <reference field="4" count="1" selected="0">
            <x v="8"/>
          </reference>
        </references>
      </pivotArea>
    </format>
    <format dxfId="19">
      <pivotArea dataOnly="0" labelOnly="1" fieldPosition="0">
        <references count="2">
          <reference field="3" count="2">
            <x v="12"/>
            <x v="13"/>
          </reference>
          <reference field="4" count="1" selected="0">
            <x v="9"/>
          </reference>
        </references>
      </pivotArea>
    </format>
    <format dxfId="18">
      <pivotArea dataOnly="0" labelOnly="1" fieldPosition="0">
        <references count="2">
          <reference field="3" count="1">
            <x v="8"/>
          </reference>
          <reference field="4" count="1" selected="0">
            <x v="10"/>
          </reference>
        </references>
      </pivotArea>
    </format>
    <format dxfId="17">
      <pivotArea dataOnly="0" labelOnly="1" fieldPosition="0">
        <references count="2">
          <reference field="3" count="1">
            <x v="8"/>
          </reference>
          <reference field="4" count="1" selected="0">
            <x v="11"/>
          </reference>
        </references>
      </pivotArea>
    </format>
    <format dxfId="16">
      <pivotArea dataOnly="0" labelOnly="1" fieldPosition="0">
        <references count="2">
          <reference field="3" count="1">
            <x v="6"/>
          </reference>
          <reference field="4" count="1" selected="0">
            <x v="12"/>
          </reference>
        </references>
      </pivotArea>
    </format>
    <format dxfId="15">
      <pivotArea dataOnly="0" labelOnly="1" fieldPosition="0">
        <references count="2">
          <reference field="3" count="1">
            <x v="11"/>
          </reference>
          <reference field="4" count="1" selected="0">
            <x v="13"/>
          </reference>
        </references>
      </pivotArea>
    </format>
    <format dxfId="14">
      <pivotArea dataOnly="0" labelOnly="1" fieldPosition="0">
        <references count="2">
          <reference field="3" count="1">
            <x v="7"/>
          </reference>
          <reference field="4" count="1" selected="0">
            <x v="15"/>
          </reference>
        </references>
      </pivotArea>
    </format>
    <format dxfId="13">
      <pivotArea dataOnly="0" labelOnly="1" fieldPosition="0">
        <references count="2">
          <reference field="3" count="1">
            <x v="5"/>
          </reference>
          <reference field="4" count="1" selected="0">
            <x v="16"/>
          </reference>
        </references>
      </pivotArea>
    </format>
    <format dxfId="12">
      <pivotArea dataOnly="0" labelOnly="1" fieldPosition="0">
        <references count="2">
          <reference field="3" count="1">
            <x v="4"/>
          </reference>
          <reference field="4" count="1" selected="0">
            <x v="17"/>
          </reference>
        </references>
      </pivotArea>
    </format>
    <format dxfId="11">
      <pivotArea dataOnly="0" labelOnly="1" fieldPosition="0">
        <references count="2">
          <reference field="3" count="1">
            <x v="7"/>
          </reference>
          <reference field="4" count="1" selected="0">
            <x v="18"/>
          </reference>
        </references>
      </pivotArea>
    </format>
    <format dxfId="10">
      <pivotArea dataOnly="0" labelOnly="1" fieldPosition="0">
        <references count="2">
          <reference field="3" count="1">
            <x v="9"/>
          </reference>
          <reference field="4" count="1" selected="0">
            <x v="19"/>
          </reference>
        </references>
      </pivotArea>
    </format>
    <format dxfId="9">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60">
      <pivotArea collapsedLevelsAreSubtotals="1" fieldPosition="0">
        <references count="1">
          <reference field="0" count="0"/>
        </references>
      </pivotArea>
    </format>
    <format dxfId="59">
      <pivotArea field="0" type="button" dataOnly="0" labelOnly="1" outline="0" axis="axisRow" fieldPosition="0"/>
    </format>
    <format dxfId="58">
      <pivotArea dataOnly="0" labelOnly="1" fieldPosition="0">
        <references count="1">
          <reference field="0" count="0"/>
        </references>
      </pivotArea>
    </format>
    <format dxfId="57">
      <pivotArea dataOnly="0" labelOnly="1" fieldPosition="0">
        <references count="1">
          <reference field="1" count="0"/>
        </references>
      </pivotArea>
    </format>
    <format dxfId="56">
      <pivotArea dataOnly="0" labelOnly="1" grandCol="1" outline="0" fieldPosition="0"/>
    </format>
    <format dxfId="55">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67">
      <pivotArea collapsedLevelsAreSubtotals="1" fieldPosition="0">
        <references count="1">
          <reference field="3" count="0"/>
        </references>
      </pivotArea>
    </format>
    <format dxfId="66">
      <pivotArea field="3" type="button" dataOnly="0" labelOnly="1" outline="0" axis="axisRow" fieldPosition="0"/>
    </format>
    <format dxfId="65">
      <pivotArea dataOnly="0" labelOnly="1" fieldPosition="0">
        <references count="1">
          <reference field="3" count="0"/>
        </references>
      </pivotArea>
    </format>
    <format dxfId="64">
      <pivotArea dataOnly="0" labelOnly="1" outline="0" axis="axisValues" fieldPosition="0"/>
    </format>
    <format dxfId="63">
      <pivotArea grandRow="1" outline="0" collapsedLevelsAreSubtotals="1" fieldPosition="0"/>
    </format>
    <format dxfId="62">
      <pivotArea dataOnly="0" labelOnly="1" fieldPosition="0">
        <references count="1">
          <reference field="0" count="0"/>
        </references>
      </pivotArea>
    </format>
    <format dxfId="61">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76">
      <pivotArea collapsedLevelsAreSubtotals="1" fieldPosition="0">
        <references count="1">
          <reference field="8" count="0"/>
        </references>
      </pivotArea>
    </format>
    <format dxfId="75">
      <pivotArea field="8" type="button" dataOnly="0" labelOnly="1" outline="0" axis="axisRow" fieldPosition="0"/>
    </format>
    <format dxfId="74">
      <pivotArea dataOnly="0" labelOnly="1" fieldPosition="0">
        <references count="1">
          <reference field="8" count="0"/>
        </references>
      </pivotArea>
    </format>
    <format dxfId="73">
      <pivotArea dataOnly="0" labelOnly="1" outline="0" axis="axisValues" fieldPosition="0"/>
    </format>
    <format dxfId="72">
      <pivotArea grandRow="1" outline="0" collapsedLevelsAreSubtotals="1" fieldPosition="0"/>
    </format>
    <format dxfId="71">
      <pivotArea dataOnly="0" labelOnly="1" grandRow="1" outline="0" fieldPosition="0"/>
    </format>
    <format dxfId="70">
      <pivotArea dataOnly="0" labelOnly="1" fieldPosition="0">
        <references count="1">
          <reference field="1" count="0"/>
        </references>
      </pivotArea>
    </format>
    <format dxfId="69">
      <pivotArea field="1" type="button" dataOnly="0" labelOnly="1" outline="0" axis="axisCol" fieldPosition="0"/>
    </format>
    <format dxfId="68">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4" zoomScaleNormal="100" workbookViewId="0">
      <selection activeCell="G47" sqref="G47"/>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zoomScaleNormal="100" workbookViewId="0">
      <selection activeCell="C12" sqref="C12"/>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AO47"/>
  <sheetViews>
    <sheetView topLeftCell="AJ10" zoomScale="98" zoomScaleNormal="98" workbookViewId="0">
      <selection activeCell="AK19" sqref="AK16:AK28"/>
      <pivotSelection pane="bottomRight" showHeader="1" axis="axisRow" activeRow="18" activeCol="36" previousRow="18" previousCol="36" click="1" r:id="rId4">
        <pivotArea dataOnly="0" labelOnly="1" fieldPosition="0">
          <references count="1">
            <reference field="3" count="0"/>
          </references>
        </pivotArea>
      </pivotSelection>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s>
  <sheetData>
    <row r="4" spans="1:41" x14ac:dyDescent="0.25">
      <c r="C4" s="7" t="s">
        <v>158</v>
      </c>
      <c r="D4" s="7" t="s">
        <v>159</v>
      </c>
      <c r="E4" s="7" t="s">
        <v>160</v>
      </c>
      <c r="F4" s="7" t="s">
        <v>161</v>
      </c>
      <c r="G4" s="7" t="s">
        <v>162</v>
      </c>
      <c r="H4" s="7" t="s">
        <v>163</v>
      </c>
    </row>
    <row r="5" spans="1:41"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41" x14ac:dyDescent="0.25">
      <c r="A14" s="8" t="s">
        <v>167</v>
      </c>
      <c r="B14" s="8" t="s">
        <v>166</v>
      </c>
      <c r="O14" s="10" t="s">
        <v>170</v>
      </c>
      <c r="P14" s="10" t="s">
        <v>171</v>
      </c>
      <c r="Y14" s="10" t="s">
        <v>175</v>
      </c>
      <c r="Z14" s="10" t="s">
        <v>171</v>
      </c>
      <c r="AK14" s="10" t="s">
        <v>182</v>
      </c>
      <c r="AL14" s="8" t="s">
        <v>175</v>
      </c>
      <c r="AN14" s="10" t="s">
        <v>184</v>
      </c>
      <c r="AO14" s="10" t="s">
        <v>175</v>
      </c>
    </row>
    <row r="15" spans="1:41"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row>
    <row r="16" spans="1:41" x14ac:dyDescent="0.25">
      <c r="A16" s="2" t="s">
        <v>9</v>
      </c>
      <c r="B16" s="6">
        <v>92000000</v>
      </c>
      <c r="C16" s="6">
        <v>27000000</v>
      </c>
      <c r="D16" s="6">
        <v>119000000</v>
      </c>
      <c r="F16" s="2" t="s">
        <v>9</v>
      </c>
      <c r="G16" s="6">
        <f t="shared" ref="G16:G22" si="0">C16-B16</f>
        <v>-65000000</v>
      </c>
      <c r="O16" s="2" t="s">
        <v>70</v>
      </c>
      <c r="P16" s="6">
        <v>138800000</v>
      </c>
      <c r="R16" s="2" t="s">
        <v>156</v>
      </c>
      <c r="S16" s="13">
        <f>P16/$P$19</f>
        <v>0.25090383224873464</v>
      </c>
      <c r="Y16" s="2" t="s">
        <v>179</v>
      </c>
      <c r="Z16" s="2">
        <v>1</v>
      </c>
      <c r="AB16" s="2" t="s">
        <v>179</v>
      </c>
      <c r="AC16" s="16">
        <f>Z16/$Z$20</f>
        <v>6.25E-2</v>
      </c>
      <c r="AK16" s="2" t="s">
        <v>13</v>
      </c>
      <c r="AL16" s="2">
        <v>1</v>
      </c>
      <c r="AN16" s="2" t="s">
        <v>59</v>
      </c>
      <c r="AO16" s="2">
        <v>1</v>
      </c>
    </row>
    <row r="17" spans="1:41"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 t="shared" ref="AC17:AC20" si="1">Z17/$Z$20</f>
        <v>6.25E-2</v>
      </c>
      <c r="AK17" s="2" t="s">
        <v>129</v>
      </c>
      <c r="AL17" s="2">
        <v>1</v>
      </c>
      <c r="AN17" s="2" t="s">
        <v>151</v>
      </c>
      <c r="AO17" s="2">
        <v>1</v>
      </c>
    </row>
    <row r="18" spans="1:41" x14ac:dyDescent="0.25">
      <c r="A18" s="2" t="s">
        <v>55</v>
      </c>
      <c r="B18" s="6">
        <v>71000000</v>
      </c>
      <c r="C18" s="6">
        <v>13000000</v>
      </c>
      <c r="D18" s="6">
        <v>84000000</v>
      </c>
      <c r="F18" s="2" t="s">
        <v>55</v>
      </c>
      <c r="G18" s="6">
        <f t="shared" si="0"/>
        <v>-58000000</v>
      </c>
      <c r="O18" s="2" t="s">
        <v>156</v>
      </c>
      <c r="P18" s="6">
        <v>213900000</v>
      </c>
      <c r="R18" s="2" t="s">
        <v>70</v>
      </c>
      <c r="S18" s="13">
        <f>P18/$P$19</f>
        <v>0.3866594360086768</v>
      </c>
      <c r="Y18" s="2" t="s">
        <v>177</v>
      </c>
      <c r="Z18" s="2">
        <v>3</v>
      </c>
      <c r="AB18" s="2" t="s">
        <v>177</v>
      </c>
      <c r="AC18" s="16">
        <f t="shared" si="1"/>
        <v>0.1875</v>
      </c>
      <c r="AK18" s="2" t="s">
        <v>151</v>
      </c>
      <c r="AL18" s="2">
        <v>1</v>
      </c>
      <c r="AN18" s="2" t="s">
        <v>112</v>
      </c>
      <c r="AO18" s="2">
        <v>1</v>
      </c>
    </row>
    <row r="19" spans="1:41"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 t="shared" si="1"/>
        <v>0.6875</v>
      </c>
      <c r="AK19" s="2" t="s">
        <v>124</v>
      </c>
      <c r="AL19" s="2">
        <v>1</v>
      </c>
      <c r="AN19" s="2" t="s">
        <v>97</v>
      </c>
      <c r="AO19" s="2">
        <v>1</v>
      </c>
    </row>
    <row r="20" spans="1:41" x14ac:dyDescent="0.25">
      <c r="A20" s="2" t="s">
        <v>93</v>
      </c>
      <c r="B20" s="6">
        <v>133800000</v>
      </c>
      <c r="C20" s="6">
        <v>95000000</v>
      </c>
      <c r="D20" s="6">
        <v>228800000</v>
      </c>
      <c r="F20" s="2" t="s">
        <v>93</v>
      </c>
      <c r="G20" s="6">
        <f t="shared" si="0"/>
        <v>-38800000</v>
      </c>
      <c r="Y20" s="2" t="s">
        <v>164</v>
      </c>
      <c r="Z20" s="2">
        <v>16</v>
      </c>
      <c r="AB20" s="12" t="s">
        <v>164</v>
      </c>
      <c r="AC20" s="15">
        <f t="shared" si="1"/>
        <v>1</v>
      </c>
      <c r="AK20" s="2" t="s">
        <v>132</v>
      </c>
      <c r="AL20" s="2">
        <v>1</v>
      </c>
      <c r="AN20" s="2" t="s">
        <v>85</v>
      </c>
      <c r="AO20" s="2">
        <v>1</v>
      </c>
    </row>
    <row r="21" spans="1:41" x14ac:dyDescent="0.25">
      <c r="A21" s="2" t="s">
        <v>109</v>
      </c>
      <c r="B21" s="6">
        <v>106000000</v>
      </c>
      <c r="C21" s="6">
        <v>13500000</v>
      </c>
      <c r="D21" s="6">
        <v>119500000</v>
      </c>
      <c r="F21" s="2" t="s">
        <v>109</v>
      </c>
      <c r="G21" s="6">
        <f t="shared" si="0"/>
        <v>-92500000</v>
      </c>
      <c r="AK21" s="2" t="s">
        <v>44</v>
      </c>
      <c r="AL21" s="2">
        <v>1</v>
      </c>
      <c r="AN21" s="2" t="s">
        <v>84</v>
      </c>
      <c r="AO21" s="2">
        <v>1</v>
      </c>
    </row>
    <row r="22" spans="1:41" x14ac:dyDescent="0.25">
      <c r="A22" s="9" t="s">
        <v>164</v>
      </c>
      <c r="B22" s="6">
        <v>553200000</v>
      </c>
      <c r="C22" s="6">
        <v>179800000</v>
      </c>
      <c r="D22" s="6">
        <v>733000000</v>
      </c>
      <c r="F22" s="12" t="s">
        <v>164</v>
      </c>
      <c r="G22" s="6">
        <f t="shared" si="0"/>
        <v>-373400000</v>
      </c>
      <c r="AK22" s="2" t="s">
        <v>84</v>
      </c>
      <c r="AL22" s="2">
        <v>1</v>
      </c>
      <c r="AN22" s="2" t="s">
        <v>79</v>
      </c>
      <c r="AO22" s="2">
        <v>1</v>
      </c>
    </row>
    <row r="23" spans="1:41" x14ac:dyDescent="0.25">
      <c r="AK23" s="2" t="s">
        <v>30</v>
      </c>
      <c r="AL23" s="2">
        <v>1</v>
      </c>
      <c r="AN23" s="2" t="s">
        <v>78</v>
      </c>
      <c r="AO23" s="2">
        <v>1</v>
      </c>
    </row>
    <row r="24" spans="1:41" x14ac:dyDescent="0.25">
      <c r="AK24" s="2" t="s">
        <v>152</v>
      </c>
      <c r="AL24" s="2">
        <v>1</v>
      </c>
      <c r="AN24" s="2" t="s">
        <v>153</v>
      </c>
      <c r="AO24" s="2">
        <v>1</v>
      </c>
    </row>
    <row r="25" spans="1:41" x14ac:dyDescent="0.25">
      <c r="AK25" s="2" t="s">
        <v>78</v>
      </c>
      <c r="AL25" s="2">
        <v>1</v>
      </c>
      <c r="AN25" s="2" t="s">
        <v>124</v>
      </c>
      <c r="AO25" s="2">
        <v>1</v>
      </c>
    </row>
    <row r="26" spans="1:41" x14ac:dyDescent="0.25">
      <c r="AK26" s="2" t="s">
        <v>64</v>
      </c>
      <c r="AL26" s="2">
        <v>1</v>
      </c>
      <c r="AN26" s="2" t="s">
        <v>65</v>
      </c>
      <c r="AO26" s="2">
        <v>2</v>
      </c>
    </row>
    <row r="27" spans="1:41" x14ac:dyDescent="0.25">
      <c r="AK27" s="2" t="s">
        <v>90</v>
      </c>
      <c r="AL27" s="2">
        <v>2</v>
      </c>
      <c r="AN27" s="2" t="s">
        <v>64</v>
      </c>
      <c r="AO27" s="2">
        <v>1</v>
      </c>
    </row>
    <row r="28" spans="1:41" x14ac:dyDescent="0.25">
      <c r="AK28" s="2" t="s">
        <v>97</v>
      </c>
      <c r="AL28" s="2">
        <v>3</v>
      </c>
      <c r="AN28" s="2" t="s">
        <v>129</v>
      </c>
      <c r="AO28" s="2">
        <v>1</v>
      </c>
    </row>
    <row r="29" spans="1:41" x14ac:dyDescent="0.25">
      <c r="AK29" s="9" t="s">
        <v>164</v>
      </c>
      <c r="AL29" s="2">
        <v>16</v>
      </c>
      <c r="AN29" s="2" t="s">
        <v>117</v>
      </c>
      <c r="AO29" s="2">
        <v>1</v>
      </c>
    </row>
    <row r="30" spans="1:41" x14ac:dyDescent="0.25">
      <c r="AN30" s="2" t="s">
        <v>97</v>
      </c>
      <c r="AO30" s="2">
        <v>1</v>
      </c>
    </row>
    <row r="31" spans="1:41" x14ac:dyDescent="0.25">
      <c r="AN31" s="2" t="s">
        <v>98</v>
      </c>
      <c r="AO31" s="2">
        <v>1</v>
      </c>
    </row>
    <row r="32" spans="1:41" x14ac:dyDescent="0.25">
      <c r="AN32" s="2" t="s">
        <v>97</v>
      </c>
      <c r="AO32" s="2">
        <v>1</v>
      </c>
    </row>
    <row r="33" spans="40:41" x14ac:dyDescent="0.25">
      <c r="AN33" s="2" t="s">
        <v>14</v>
      </c>
      <c r="AO33" s="2">
        <v>1</v>
      </c>
    </row>
    <row r="34" spans="40:41" x14ac:dyDescent="0.25">
      <c r="AN34" s="2" t="s">
        <v>13</v>
      </c>
      <c r="AO34" s="2">
        <v>1</v>
      </c>
    </row>
    <row r="35" spans="40:41" x14ac:dyDescent="0.25">
      <c r="AN35" s="2" t="s">
        <v>139</v>
      </c>
      <c r="AO35" s="2">
        <v>1</v>
      </c>
    </row>
    <row r="36" spans="40:41" x14ac:dyDescent="0.25">
      <c r="AN36" s="2" t="s">
        <v>152</v>
      </c>
      <c r="AO36" s="2">
        <v>1</v>
      </c>
    </row>
    <row r="37" spans="40:41" x14ac:dyDescent="0.25">
      <c r="AN37" s="2" t="s">
        <v>22</v>
      </c>
      <c r="AO37" s="2">
        <v>1</v>
      </c>
    </row>
    <row r="38" spans="40:41" x14ac:dyDescent="0.25">
      <c r="AN38" s="2" t="s">
        <v>90</v>
      </c>
      <c r="AO38" s="2">
        <v>1</v>
      </c>
    </row>
    <row r="39" spans="40:41" x14ac:dyDescent="0.25">
      <c r="AN39" s="2" t="s">
        <v>45</v>
      </c>
      <c r="AO39" s="2">
        <v>1</v>
      </c>
    </row>
    <row r="40" spans="40:41" x14ac:dyDescent="0.25">
      <c r="AN40" s="2" t="s">
        <v>44</v>
      </c>
      <c r="AO40" s="2">
        <v>1</v>
      </c>
    </row>
    <row r="41" spans="40:41" x14ac:dyDescent="0.25">
      <c r="AN41" s="2" t="s">
        <v>38</v>
      </c>
      <c r="AO41" s="2">
        <v>1</v>
      </c>
    </row>
    <row r="42" spans="40:41" x14ac:dyDescent="0.25">
      <c r="AN42" s="2" t="s">
        <v>30</v>
      </c>
      <c r="AO42" s="2">
        <v>1</v>
      </c>
    </row>
    <row r="43" spans="40:41" x14ac:dyDescent="0.25">
      <c r="AN43" s="2" t="s">
        <v>102</v>
      </c>
      <c r="AO43" s="2">
        <v>1</v>
      </c>
    </row>
    <row r="44" spans="40:41" x14ac:dyDescent="0.25">
      <c r="AN44" s="2" t="s">
        <v>90</v>
      </c>
      <c r="AO44" s="2">
        <v>1</v>
      </c>
    </row>
    <row r="45" spans="40:41" x14ac:dyDescent="0.25">
      <c r="AN45" s="2" t="s">
        <v>134</v>
      </c>
      <c r="AO45" s="2">
        <v>1</v>
      </c>
    </row>
    <row r="46" spans="40:41" x14ac:dyDescent="0.25">
      <c r="AN46" s="2" t="s">
        <v>132</v>
      </c>
      <c r="AO46" s="2">
        <v>1</v>
      </c>
    </row>
    <row r="47" spans="40:41"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6"/>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abSelected="1" topLeftCell="A55"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2026-06-29T13:39:31Z</dcterms:modified>
</cp:coreProperties>
</file>