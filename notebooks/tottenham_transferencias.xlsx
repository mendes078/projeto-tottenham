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BF4C21BF-C0AE-46F5-B1A8-EDF52E14F9ED}"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3"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4" l="1"/>
  <c r="I10" i="4"/>
  <c r="I11" i="4"/>
  <c r="I12" i="4"/>
  <c r="I13" i="4"/>
  <c r="I14" i="4"/>
  <c r="I15" i="4"/>
  <c r="I16" i="4"/>
  <c r="I17" i="4"/>
  <c r="I18" i="4"/>
  <c r="I19" i="4"/>
  <c r="I20" i="4"/>
  <c r="I21" i="4"/>
  <c r="I22" i="4"/>
  <c r="I23" i="4"/>
  <c r="I24" i="4"/>
  <c r="I4" i="4"/>
  <c r="I5" i="4"/>
  <c r="I6" i="4"/>
  <c r="I7" i="4"/>
  <c r="I8" i="4"/>
  <c r="I3"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<sst xmlns="http://schemas.openxmlformats.org/spreadsheetml/2006/main" count="424" uniqueCount="179">
  <si>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</si>
  <si>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</si>
  <si>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</si>
  <si>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</si>
  <si>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</si>
  <si>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</si>
  <si>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</si>
  <si>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</si>
  <si>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</si>
  <si>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</si>
  <si>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</si>
  <si>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</si>
  <si>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</si>
  <si>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</si>
  <si>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</si>
  <si>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</si>
  <si>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</si>
  <si>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</si>
  <si>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</si>
  <si>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</si>
  <si>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</si>
  <si>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</si>
  <si>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</si>
  <si>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</si>
  <si>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</si>
  <si>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</si>
  <si>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</si>
  <si>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</si>
  <si>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</si>
  <si>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</si>
  <si>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</si>
  <si>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</si>
  <si>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</si>
  <si>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</si>
  <si>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</si>
  <si>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</si>
  <si>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</si>
  <si>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</si>
  <si>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</si>
  <si>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</si>
  <si>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</si>
  <si>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</si>
  <si>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</si>
  <si>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</si>
  <si>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</si>
  <si>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</si>
  <si>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</si>
  <si>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</si>
  <si>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</si>
  <si>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</si>
  <si>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</si>
  <si>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</si>
  <si>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</si>
  <si>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</si>
  <si>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</si>
  <si>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</si>
  <si>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</si>
  <si>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</si>
  <si>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</si>
  <si>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</si>
  <si>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</si>
  <si>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</si>
  <si>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</si>
  <si>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</si>
  <si>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</si>
  <si>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</si>
  <si>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</si>
  <si>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</si>
  <si>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</si>
  <si>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</si>
  <si>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</si>
  <si>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</si>
  <si>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</si>
  <si>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</si>
  <si>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</si>
  <si>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</si>
  <si>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</si>
  <si>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</si>
  <si>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</si>
  <si>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</si>
  <si>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</si>
  <si>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</si>
  <si>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</si>
  <si>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</si>
  <si>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</si>
  <si>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</si>
  <si>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</si>
  <si>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</si>
  <si>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</si>
  <si>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</si>
  <si>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</si>
  <si>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</si>
  <si>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</si>
  <si>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</si>
  <si>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</si>
  <si>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</si>
  <si>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</si>
  <si>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</si>
  <si>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</si>
  <si>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</si>
  <si>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</si>
  <si>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</si>
  <si>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</si>
  <si>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</si>
  <si>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</si>
  <si>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</si>
  <si>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</si>
  <si>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</si>
  <si>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</si>
  <si>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</si>
  <si>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</si>
  <si>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</si>
  <si>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</si>
  <si>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</si>
  <si>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</si>
  <si>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</si>
  <si>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</si>
  <si>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</si>
  <si>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</si>
  <si>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</si>
  <si>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</si>
  <si>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</si>
  <si>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</si>
  <si>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</si>
  <si>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</si>
  <si>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</si>
  <si>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</si>
  <si>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</si>
  <si>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</si>
  <si>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</si>
  <si>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</si>
  <si>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</si>
  <si>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</si>
  <si>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</si>
  <si>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</si>
  <si>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</si>
  <si>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</si>
  <si>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</si>
  <si>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</si>
  <si>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</si>
  <si>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</si>
  <si>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</si>
  <si>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</si>
  <si>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</si>
  <si>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</si>
  <si>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</si>
  <si>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</si>
  <si>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</si>
  <si>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</si>
  <si>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</si>
  <si>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</si>
  <si>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</si>
  <si>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</si>
  <si>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</si>
  <si>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</si>
  <si>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</si>
  <si>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</si>
  <si>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</si>
  <si>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</si>
  <si>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</si>
  <si>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</si>
  <si>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</si>
  <si>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</si>
  <si>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</si>
  <si>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</si>
  <si>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</si>
  <si>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</si>
  <si>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</si>
  <si>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</si>
  <si>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</si>
  <si>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</si>
  <si>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</si>
  <si>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</si>
  <si>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16-20</t>
  </si>
  <si>
    <t>21-25</t>
  </si>
  <si>
    <t>26-30</t>
  </si>
  <si>
    <t>31-35</t>
  </si>
  <si>
    <t>Faixa Etária</t>
  </si>
  <si>
    <t>faixa_etária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</si>
</sst>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4" x14ac:knownFonts="1">
    <font>
      <sz val="11"/>
      <color theme="1"/>
      <name val="Calibri"/>
      <family val="2"/>
      <scheme val="minor"/>
    </font>
    <font>
      <b/>
      <sz val="11"/>
      <name val="Calibri"/>
    </font>
    <font>
      <b/>
      <sz val="11"/>
      <name val="Calibri"/>
      <family val="2"/>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1" fontId="0" fillId="0" borderId="0" xfId="0" applyNumberFormat="1" applyAlignment="1">
      <alignment horizontal="left"/>
    </xf>
    <xf numFmtId="0" fontId="0" fillId="0" borderId="0" xfId="0" applyAlignment="1"/>
  </cellXfs>
  <cellStyles count="1">
    <cellStyle name="Normal" xfId="0" builtinId="0"/>
  </cellStyles>
  <dxfs count="36">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593286</xdr:colOff>
      <xdr:row>6</xdr:row>
      <xdr:rowOff>188176</xdr:rowOff>
    </xdr:from>
    <xdr:ext cx="4305794"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891811" y="1331176"/>
          <a:ext cx="430579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Priorização por Jovens ou Veteranos</a:t>
          </a:r>
        </a:p>
      </xdr:txBody>
    </xdr:sp>
    <xdr:clientData/>
  </xdr:oneCellAnchor>
  <xdr:oneCellAnchor>
    <xdr:from>
      <xdr:col>24</xdr:col>
      <xdr:colOff>179646</xdr:colOff>
      <xdr:row>8</xdr:row>
      <xdr:rowOff>133350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278021" y="165735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81.843427199077" createdVersion="8" refreshedVersion="8" minRefreshableVersion="3" recordCount="22" xr:uid="{11AE0983-117D-40C8-AD52-16F3B61A0005}">
  <cacheSource type="worksheet">
    <worksheetSource ref="A2:J24" sheet="Dados Tratados"/>
  </cacheSource>
  <cacheFields count="9">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s v="Compra"/>
  </r>
  <r>
    <x v="0"/>
    <x v="0"/>
    <s v="Steven Bergwijn"/>
    <x v="1"/>
    <s v="Holanda"/>
    <s v="PSV Eindhoven"/>
    <n v="30000000"/>
    <x v="0"/>
    <s v="Compra"/>
  </r>
  <r>
    <x v="0"/>
    <x v="1"/>
    <s v="Christian Eriksen"/>
    <x v="0"/>
    <s v="Dinamarca"/>
    <s v="Inter Milan"/>
    <n v="27000000"/>
    <x v="1"/>
    <s v="Venda"/>
  </r>
  <r>
    <x v="1"/>
    <x v="0"/>
    <s v="Pierre-Emile Højbjerg"/>
    <x v="0"/>
    <s v="Dinamarca"/>
    <s v="Southampton"/>
    <n v="16600000"/>
    <x v="2"/>
    <s v="Compra"/>
  </r>
  <r>
    <x v="1"/>
    <x v="0"/>
    <s v="Sergio Reguilón"/>
    <x v="2"/>
    <s v="Espanha"/>
    <s v="Real Madrid"/>
    <n v="30000000"/>
    <x v="3"/>
    <s v="Compra"/>
  </r>
  <r>
    <x v="1"/>
    <x v="1"/>
    <s v="Jan Vertonghen"/>
    <x v="2"/>
    <s v="Bélgica"/>
    <s v="Benfica"/>
    <n v="0"/>
    <x v="4"/>
    <s v="Livre"/>
  </r>
  <r>
    <x v="1"/>
    <x v="0"/>
    <s v="Matt Doherty"/>
    <x v="2"/>
    <s v="Irlanda"/>
    <s v="Wolves"/>
    <n v="16800000"/>
    <x v="5"/>
    <s v="Compra"/>
  </r>
  <r>
    <x v="2"/>
    <x v="0"/>
    <s v="Cristian Romero"/>
    <x v="2"/>
    <s v="Argentina"/>
    <s v="Atalanta"/>
    <n v="52000000"/>
    <x v="3"/>
    <s v="Compra"/>
  </r>
  <r>
    <x v="2"/>
    <x v="0"/>
    <s v="Dejan Kulusevski"/>
    <x v="1"/>
    <s v="Suécia"/>
    <s v="Juventus"/>
    <n v="0"/>
    <x v="6"/>
    <s v="Empréstimo"/>
  </r>
  <r>
    <x v="2"/>
    <x v="1"/>
    <s v="Toby Alderweireld"/>
    <x v="2"/>
    <s v="Bélgica"/>
    <s v="Al Duhail"/>
    <n v="13000000"/>
    <x v="7"/>
    <s v="Venda"/>
  </r>
  <r>
    <x v="2"/>
    <x v="0"/>
    <s v="Rodrigo Bentancur"/>
    <x v="0"/>
    <s v="Uruguai"/>
    <s v="Juventus"/>
    <n v="19000000"/>
    <x v="8"/>
    <s v="Compra"/>
  </r>
  <r>
    <x v="3"/>
    <x v="0"/>
    <s v="Richarlison"/>
    <x v="1"/>
    <s v="Brasil"/>
    <s v="Everton"/>
    <n v="58000000"/>
    <x v="2"/>
    <s v="Compra"/>
  </r>
  <r>
    <x v="3"/>
    <x v="0"/>
    <s v="Yves Bissouma"/>
    <x v="0"/>
    <s v="Mali"/>
    <s v="Brighton"/>
    <n v="29000000"/>
    <x v="2"/>
    <s v="Compra"/>
  </r>
  <r>
    <x v="3"/>
    <x v="1"/>
    <s v="Steven Bergwijn"/>
    <x v="1"/>
    <s v="Holanda"/>
    <s v="Ajax"/>
    <n v="31300000"/>
    <x v="8"/>
    <s v="Venda"/>
  </r>
  <r>
    <x v="3"/>
    <x v="0"/>
    <s v="Ivan Perišić"/>
    <x v="1"/>
    <s v="Croácia"/>
    <s v="Inter Milan"/>
    <n v="0"/>
    <x v="4"/>
    <s v="Livre"/>
  </r>
  <r>
    <x v="4"/>
    <x v="0"/>
    <s v="James Maddison"/>
    <x v="0"/>
    <s v="Inglaterra"/>
    <s v="Leicester City"/>
    <n v="46300000"/>
    <x v="9"/>
    <s v="Compra"/>
  </r>
  <r>
    <x v="4"/>
    <x v="0"/>
    <s v="Micky van de Ven"/>
    <x v="2"/>
    <s v="Holanda"/>
    <s v="Wolfsburg"/>
    <n v="40000000"/>
    <x v="0"/>
    <s v="Compra"/>
  </r>
  <r>
    <x v="4"/>
    <x v="1"/>
    <s v="Harry Kane"/>
    <x v="1"/>
    <s v="Inglaterra"/>
    <s v="Bayern München"/>
    <n v="95000000"/>
    <x v="10"/>
    <s v="Venda"/>
  </r>
  <r>
    <x v="4"/>
    <x v="0"/>
    <s v="Brennan Johnson"/>
    <x v="1"/>
    <s v="País De Gales"/>
    <s v="Nottingham Forest"/>
    <n v="47500000"/>
    <x v="0"/>
    <s v="Compra"/>
  </r>
  <r>
    <x v="5"/>
    <x v="0"/>
    <s v="Dominic Solanke"/>
    <x v="1"/>
    <s v="Inglaterra"/>
    <s v="Bournemouth"/>
    <n v="65000000"/>
    <x v="9"/>
    <s v="Compra"/>
  </r>
  <r>
    <x v="5"/>
    <x v="0"/>
    <s v="Archie Gray"/>
    <x v="0"/>
    <s v="Inglaterra"/>
    <s v="Leeds United"/>
    <n v="41000000"/>
    <x v="11"/>
    <s v="Compra"/>
  </r>
  <r>
    <x v="5"/>
    <x v="1"/>
    <s v="Pierre-Emile Højbjerg"/>
    <x v="0"/>
    <s v="Dinamarca"/>
    <s v="Olympique Marseille"/>
    <n v="13500000"/>
    <x v="12"/>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Faixa Etária">
  <location ref="Y14:Y19" firstHeaderRow="1" firstDataRow="1" firstDataCol="1"/>
  <pivotFields count="9">
    <pivotField showAll="0"/>
    <pivotField showAll="0">
      <items count="3">
        <item x="0"/>
        <item h="1" x="1"/>
        <item t="default"/>
      </items>
    </pivotField>
    <pivotField showAll="0"/>
    <pivotField showAll="0"/>
    <pivotField showAll="0"/>
    <pivotField showAll="0"/>
    <pivotField numFmtId="164" showAll="0"/>
    <pivotField axis="axisRow" numFmtId="1" showAll="0">
      <items count="10">
        <item x="0"/>
        <item x="1"/>
        <item x="2"/>
        <item x="3"/>
        <item x="4"/>
        <item x="5"/>
        <item x="6"/>
        <item x="7"/>
        <item x="8"/>
        <item t="default"/>
      </items>
    </pivotField>
    <pivotField showAll="0"/>
  </pivotFields>
  <rowFields count="1">
    <field x="7"/>
  </rowFields>
  <rowItems count="5">
    <i>
      <x v="4"/>
    </i>
    <i>
      <x v="5"/>
    </i>
    <i>
      <x v="6"/>
    </i>
    <i>
      <x v="7"/>
    </i>
    <i t="grand">
      <x/>
    </i>
  </rowItems>
  <colItems count="1">
    <i/>
  </colItems>
  <formats count="1">
    <format dxfId="5">
      <pivotArea dataOnly="0" labelOnly="1" fieldPosition="0">
        <references count="1">
          <reference field="7" count="4">
            <x v="4"/>
            <x v="5"/>
            <x v="6"/>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3"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Posições" colHeaderCaption="Tipo de Movimentação">
  <location ref="O14:P19" firstHeaderRow="1" firstDataRow="2" firstDataCol="1"/>
  <pivotFields count="9">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items count="10">
        <item x="0"/>
        <item x="1"/>
        <item x="2"/>
        <item x="3"/>
        <item x="4"/>
        <item x="5"/>
        <item x="6"/>
        <item x="7"/>
        <item x="8"/>
        <item t="default"/>
      </items>
    </pivotField>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29">
      <pivotArea type="all" dataOnly="0" outline="0" fieldPosition="0"/>
    </format>
    <format dxfId="28">
      <pivotArea outline="0" collapsedLevelsAreSubtotals="1" fieldPosition="0"/>
    </format>
    <format dxfId="27">
      <pivotArea type="origin" dataOnly="0" labelOnly="1" outline="0" fieldPosition="0"/>
    </format>
    <format dxfId="26">
      <pivotArea field="1" type="button" dataOnly="0" labelOnly="1" outline="0" axis="axisCol" fieldPosition="0"/>
    </format>
    <format dxfId="25">
      <pivotArea type="topRight" dataOnly="0" labelOnly="1" outline="0" fieldPosition="0"/>
    </format>
    <format dxfId="24">
      <pivotArea field="3" type="button" dataOnly="0" labelOnly="1" outline="0" axis="axisRow" fieldPosition="0"/>
    </format>
    <format dxfId="23">
      <pivotArea dataOnly="0" labelOnly="1" fieldPosition="0">
        <references count="1">
          <reference field="3" count="0"/>
        </references>
      </pivotArea>
    </format>
    <format dxfId="22">
      <pivotArea dataOnly="0" labelOnly="1" fieldPosition="0">
        <references count="1">
          <reference field="1" count="0"/>
        </references>
      </pivotArea>
    </format>
    <format dxfId="21">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9">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items count="10">
        <item x="0"/>
        <item x="1"/>
        <item x="2"/>
        <item x="3"/>
        <item x="4"/>
        <item x="5"/>
        <item x="6"/>
        <item x="7"/>
        <item x="8"/>
        <item t="default"/>
      </items>
    </pivotField>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35">
      <pivotArea collapsedLevelsAreSubtotals="1" fieldPosition="0">
        <references count="1">
          <reference field="0" count="0"/>
        </references>
      </pivotArea>
    </format>
    <format dxfId="34">
      <pivotArea field="0" type="button" dataOnly="0" labelOnly="1" outline="0" axis="axisRow" fieldPosition="0"/>
    </format>
    <format dxfId="33">
      <pivotArea dataOnly="0" labelOnly="1" fieldPosition="0">
        <references count="1">
          <reference field="0" count="0"/>
        </references>
      </pivotArea>
    </format>
    <format dxfId="32">
      <pivotArea dataOnly="0" labelOnly="1" fieldPosition="0">
        <references count="1">
          <reference field="1" count="0"/>
        </references>
      </pivotArea>
    </format>
    <format dxfId="31">
      <pivotArea dataOnly="0" labelOnly="1" grandCol="1" outline="0" fieldPosition="0"/>
    </format>
    <format dxfId="3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I9" sqref="I9"/>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19.85546875"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178</v>
      </c>
      <c r="J2" s="4" t="s">
        <v>142</v>
      </c>
    </row>
    <row r="3" spans="1:10" x14ac:dyDescent="0.25">
      <c r="A3" s="2" t="s">
        <v>9</v>
      </c>
      <c r="B3" s="2" t="s">
        <v>18</v>
      </c>
      <c r="C3" s="2" t="s">
        <v>147</v>
      </c>
      <c r="D3" s="2" t="s">
        <v>156</v>
      </c>
      <c r="E3" s="2" t="s">
        <v>13</v>
      </c>
      <c r="F3" s="2" t="s">
        <v>14</v>
      </c>
      <c r="G3" s="6">
        <v>62000000</v>
      </c>
      <c r="H3" s="5">
        <v>22</v>
      </c>
      <c r="I3" s="5" t="str">
        <f>IF(H3&lt;=20,"Muito Jovem",IF(AND(H3&gt;=21,H3&lt;=25),"Jovem",IF(AND(H3&gt;=26,H3&lt;=30),"Experiente",IF(H3&gt;31,"Veterano"))))</f>
        <v>Jovem</v>
      </c>
      <c r="J3" s="2" t="s">
        <v>16</v>
      </c>
    </row>
    <row r="4" spans="1:10" x14ac:dyDescent="0.25">
      <c r="A4" s="2" t="s">
        <v>9</v>
      </c>
      <c r="B4" s="2" t="s">
        <v>18</v>
      </c>
      <c r="C4" s="2" t="s">
        <v>88</v>
      </c>
      <c r="D4" s="2" t="s">
        <v>77</v>
      </c>
      <c r="E4" s="2" t="s">
        <v>90</v>
      </c>
      <c r="F4" s="2" t="s">
        <v>22</v>
      </c>
      <c r="G4" s="6">
        <v>30000000</v>
      </c>
      <c r="H4" s="5">
        <v>22</v>
      </c>
      <c r="I4" s="5" t="str">
        <f t="shared" ref="I4:I24" si="0">IF(H4&lt;=20,"Muito Jovem",IF(AND(H4&gt;=21,H4&lt;=25),"Jovem",IF(AND(H4&gt;=26,H4&lt;=30),"Experiente",IF(H4&gt;31,"Veterano"))))</f>
        <v>Jovem</v>
      </c>
      <c r="J4" s="2" t="s">
        <v>16</v>
      </c>
    </row>
    <row r="5" spans="1:10" x14ac:dyDescent="0.25">
      <c r="A5" s="2" t="s">
        <v>9</v>
      </c>
      <c r="B5" s="2" t="s">
        <v>48</v>
      </c>
      <c r="C5" s="2" t="s">
        <v>28</v>
      </c>
      <c r="D5" s="2" t="s">
        <v>156</v>
      </c>
      <c r="E5" s="2" t="s">
        <v>30</v>
      </c>
      <c r="F5" s="2" t="s">
        <v>153</v>
      </c>
      <c r="G5" s="6">
        <v>27000000</v>
      </c>
      <c r="H5" s="5">
        <v>27</v>
      </c>
      <c r="I5" s="5" t="str">
        <f t="shared" si="0"/>
        <v>Experiente</v>
      </c>
      <c r="J5" s="2" t="s">
        <v>33</v>
      </c>
    </row>
    <row r="6" spans="1:10" x14ac:dyDescent="0.25">
      <c r="A6" s="2" t="s">
        <v>34</v>
      </c>
      <c r="B6" s="2" t="s">
        <v>18</v>
      </c>
      <c r="C6" s="2" t="s">
        <v>149</v>
      </c>
      <c r="D6" s="2" t="s">
        <v>156</v>
      </c>
      <c r="E6" s="2" t="s">
        <v>30</v>
      </c>
      <c r="F6" s="2" t="s">
        <v>38</v>
      </c>
      <c r="G6" s="6">
        <v>16600000</v>
      </c>
      <c r="H6" s="5">
        <v>25</v>
      </c>
      <c r="I6" s="5" t="str">
        <f t="shared" si="0"/>
        <v>Jovem</v>
      </c>
      <c r="J6" s="2" t="s">
        <v>16</v>
      </c>
    </row>
    <row r="7" spans="1:10" x14ac:dyDescent="0.25">
      <c r="A7" s="2" t="s">
        <v>34</v>
      </c>
      <c r="B7" s="2" t="s">
        <v>18</v>
      </c>
      <c r="C7" s="2" t="s">
        <v>150</v>
      </c>
      <c r="D7" s="2" t="s">
        <v>70</v>
      </c>
      <c r="E7" s="2" t="s">
        <v>44</v>
      </c>
      <c r="F7" s="2" t="s">
        <v>45</v>
      </c>
      <c r="G7" s="6">
        <v>30000000</v>
      </c>
      <c r="H7" s="5">
        <v>23</v>
      </c>
      <c r="I7" s="5" t="str">
        <f t="shared" si="0"/>
        <v>Jovem</v>
      </c>
      <c r="J7" s="2" t="s">
        <v>16</v>
      </c>
    </row>
    <row r="8" spans="1:10" x14ac:dyDescent="0.25">
      <c r="A8" s="2" t="s">
        <v>34</v>
      </c>
      <c r="B8" s="2" t="s">
        <v>48</v>
      </c>
      <c r="C8" s="2" t="s">
        <v>49</v>
      </c>
      <c r="D8" s="2" t="s">
        <v>70</v>
      </c>
      <c r="E8" s="2" t="s">
        <v>51</v>
      </c>
      <c r="F8" s="2" t="s">
        <v>52</v>
      </c>
      <c r="G8" s="6">
        <v>0</v>
      </c>
      <c r="H8" s="5">
        <v>33</v>
      </c>
      <c r="I8" s="5" t="str">
        <f t="shared" si="0"/>
        <v>Veterano</v>
      </c>
      <c r="J8" s="2" t="s">
        <v>53</v>
      </c>
    </row>
    <row r="9" spans="1:10" x14ac:dyDescent="0.25">
      <c r="A9" s="2" t="s">
        <v>34</v>
      </c>
      <c r="B9" s="2" t="s">
        <v>18</v>
      </c>
      <c r="C9" s="2" t="s">
        <v>131</v>
      </c>
      <c r="D9" s="2" t="s">
        <v>70</v>
      </c>
      <c r="E9" s="2" t="s">
        <v>132</v>
      </c>
      <c r="F9" s="2" t="s">
        <v>134</v>
      </c>
      <c r="G9" s="6">
        <v>16800000</v>
      </c>
      <c r="H9" s="5">
        <v>28</v>
      </c>
      <c r="I9" s="5" t="str">
        <f t="shared" si="0"/>
        <v>Experiente</v>
      </c>
      <c r="J9" s="2" t="s">
        <v>16</v>
      </c>
    </row>
    <row r="10" spans="1:10" x14ac:dyDescent="0.25">
      <c r="A10" s="2" t="s">
        <v>55</v>
      </c>
      <c r="B10" s="2" t="s">
        <v>18</v>
      </c>
      <c r="C10" s="2" t="s">
        <v>56</v>
      </c>
      <c r="D10" s="2" t="s">
        <v>70</v>
      </c>
      <c r="E10" s="2" t="s">
        <v>151</v>
      </c>
      <c r="F10" s="2" t="s">
        <v>59</v>
      </c>
      <c r="G10" s="6">
        <v>52000000</v>
      </c>
      <c r="H10" s="5">
        <v>23</v>
      </c>
      <c r="I10" s="5" t="str">
        <f t="shared" si="0"/>
        <v>Jovem</v>
      </c>
      <c r="J10" s="2" t="s">
        <v>16</v>
      </c>
    </row>
    <row r="11" spans="1:10" x14ac:dyDescent="0.25">
      <c r="A11" s="2" t="s">
        <v>55</v>
      </c>
      <c r="B11" s="2" t="s">
        <v>18</v>
      </c>
      <c r="C11" s="2" t="s">
        <v>62</v>
      </c>
      <c r="D11" s="2" t="s">
        <v>77</v>
      </c>
      <c r="E11" s="2" t="s">
        <v>64</v>
      </c>
      <c r="F11" s="2" t="s">
        <v>65</v>
      </c>
      <c r="G11" s="6">
        <v>0</v>
      </c>
      <c r="H11" s="5">
        <v>21</v>
      </c>
      <c r="I11" s="5" t="str">
        <f t="shared" si="0"/>
        <v>Jovem</v>
      </c>
      <c r="J11" s="2" t="s">
        <v>157</v>
      </c>
    </row>
    <row r="12" spans="1:10" x14ac:dyDescent="0.25">
      <c r="A12" s="2" t="s">
        <v>55</v>
      </c>
      <c r="B12" s="2" t="s">
        <v>48</v>
      </c>
      <c r="C12" s="2" t="s">
        <v>69</v>
      </c>
      <c r="D12" s="2" t="s">
        <v>70</v>
      </c>
      <c r="E12" s="2" t="s">
        <v>51</v>
      </c>
      <c r="F12" s="2" t="s">
        <v>72</v>
      </c>
      <c r="G12" s="6">
        <v>13000000</v>
      </c>
      <c r="H12" s="5">
        <v>32</v>
      </c>
      <c r="I12" s="5" t="str">
        <f t="shared" si="0"/>
        <v>Veterano</v>
      </c>
      <c r="J12" s="2" t="s">
        <v>33</v>
      </c>
    </row>
    <row r="13" spans="1:10" x14ac:dyDescent="0.25">
      <c r="A13" s="2" t="s">
        <v>55</v>
      </c>
      <c r="B13" s="2" t="s">
        <v>18</v>
      </c>
      <c r="C13" s="2" t="s">
        <v>127</v>
      </c>
      <c r="D13" s="2" t="s">
        <v>156</v>
      </c>
      <c r="E13" s="2" t="s">
        <v>129</v>
      </c>
      <c r="F13" s="2" t="s">
        <v>65</v>
      </c>
      <c r="G13" s="6">
        <v>19000000</v>
      </c>
      <c r="H13" s="5">
        <v>24</v>
      </c>
      <c r="I13" s="5" t="str">
        <f t="shared" si="0"/>
        <v>Jovem</v>
      </c>
      <c r="J13" s="2" t="s">
        <v>16</v>
      </c>
    </row>
    <row r="14" spans="1:10" x14ac:dyDescent="0.25">
      <c r="A14" s="2" t="s">
        <v>75</v>
      </c>
      <c r="B14" s="2" t="s">
        <v>18</v>
      </c>
      <c r="C14" s="2" t="s">
        <v>76</v>
      </c>
      <c r="D14" s="2" t="s">
        <v>77</v>
      </c>
      <c r="E14" s="2" t="s">
        <v>78</v>
      </c>
      <c r="F14" s="2" t="s">
        <v>79</v>
      </c>
      <c r="G14" s="6">
        <v>58000000</v>
      </c>
      <c r="H14" s="5">
        <v>25</v>
      </c>
      <c r="I14" s="5" t="str">
        <f t="shared" si="0"/>
        <v>Jovem</v>
      </c>
      <c r="J14" s="2" t="s">
        <v>16</v>
      </c>
    </row>
    <row r="15" spans="1:10" x14ac:dyDescent="0.25">
      <c r="A15" s="2" t="s">
        <v>75</v>
      </c>
      <c r="B15" s="2" t="s">
        <v>18</v>
      </c>
      <c r="C15" s="2" t="s">
        <v>82</v>
      </c>
      <c r="D15" s="2" t="s">
        <v>156</v>
      </c>
      <c r="E15" s="2" t="s">
        <v>84</v>
      </c>
      <c r="F15" s="2" t="s">
        <v>85</v>
      </c>
      <c r="G15" s="6">
        <v>29000000</v>
      </c>
      <c r="H15" s="5">
        <v>25</v>
      </c>
      <c r="I15" s="5" t="str">
        <f t="shared" si="0"/>
        <v>Jovem</v>
      </c>
      <c r="J15" s="2" t="s">
        <v>16</v>
      </c>
    </row>
    <row r="16" spans="1:10" x14ac:dyDescent="0.25">
      <c r="A16" s="2" t="s">
        <v>75</v>
      </c>
      <c r="B16" s="2" t="s">
        <v>48</v>
      </c>
      <c r="C16" s="2" t="s">
        <v>88</v>
      </c>
      <c r="D16" s="2" t="s">
        <v>77</v>
      </c>
      <c r="E16" s="2" t="s">
        <v>90</v>
      </c>
      <c r="F16" s="2" t="s">
        <v>91</v>
      </c>
      <c r="G16" s="6">
        <v>31300000</v>
      </c>
      <c r="H16" s="5">
        <v>24</v>
      </c>
      <c r="I16" s="5" t="str">
        <f t="shared" si="0"/>
        <v>Jovem</v>
      </c>
      <c r="J16" s="2" t="s">
        <v>33</v>
      </c>
    </row>
    <row r="17" spans="1:10" x14ac:dyDescent="0.25">
      <c r="A17" s="2" t="s">
        <v>75</v>
      </c>
      <c r="B17" s="2" t="s">
        <v>18</v>
      </c>
      <c r="C17" s="2" t="s">
        <v>148</v>
      </c>
      <c r="D17" s="2" t="s">
        <v>77</v>
      </c>
      <c r="E17" s="2" t="s">
        <v>124</v>
      </c>
      <c r="F17" s="2" t="s">
        <v>153</v>
      </c>
      <c r="G17" s="6">
        <v>0</v>
      </c>
      <c r="H17" s="5">
        <v>33</v>
      </c>
      <c r="I17" s="5" t="str">
        <f t="shared" si="0"/>
        <v>Veterano</v>
      </c>
      <c r="J17" s="2" t="s">
        <v>53</v>
      </c>
    </row>
    <row r="18" spans="1:10" x14ac:dyDescent="0.25">
      <c r="A18" s="2" t="s">
        <v>93</v>
      </c>
      <c r="B18" s="2" t="s">
        <v>18</v>
      </c>
      <c r="C18" s="2" t="s">
        <v>95</v>
      </c>
      <c r="D18" s="2" t="s">
        <v>156</v>
      </c>
      <c r="E18" s="2" t="s">
        <v>97</v>
      </c>
      <c r="F18" s="2" t="s">
        <v>98</v>
      </c>
      <c r="G18" s="6">
        <v>46300000</v>
      </c>
      <c r="H18" s="5">
        <v>26</v>
      </c>
      <c r="I18" s="5" t="str">
        <f t="shared" si="0"/>
        <v>Experiente</v>
      </c>
      <c r="J18" s="2" t="s">
        <v>16</v>
      </c>
    </row>
    <row r="19" spans="1:10" x14ac:dyDescent="0.25">
      <c r="A19" s="2" t="s">
        <v>93</v>
      </c>
      <c r="B19" s="2" t="s">
        <v>18</v>
      </c>
      <c r="C19" s="2" t="s">
        <v>100</v>
      </c>
      <c r="D19" s="2" t="s">
        <v>70</v>
      </c>
      <c r="E19" s="2" t="s">
        <v>90</v>
      </c>
      <c r="F19" s="2" t="s">
        <v>102</v>
      </c>
      <c r="G19" s="6">
        <v>40000000</v>
      </c>
      <c r="H19" s="5">
        <v>22</v>
      </c>
      <c r="I19" s="5" t="str">
        <f t="shared" si="0"/>
        <v>Jovem</v>
      </c>
      <c r="J19" s="2" t="s">
        <v>16</v>
      </c>
    </row>
    <row r="20" spans="1:10" x14ac:dyDescent="0.25">
      <c r="A20" s="2" t="s">
        <v>93</v>
      </c>
      <c r="B20" s="2" t="s">
        <v>48</v>
      </c>
      <c r="C20" s="2" t="s">
        <v>104</v>
      </c>
      <c r="D20" s="2" t="s">
        <v>77</v>
      </c>
      <c r="E20" s="2" t="s">
        <v>97</v>
      </c>
      <c r="F20" s="2" t="s">
        <v>154</v>
      </c>
      <c r="G20" s="6">
        <v>95000000</v>
      </c>
      <c r="H20" s="5">
        <v>30</v>
      </c>
      <c r="I20" s="5" t="str">
        <f t="shared" si="0"/>
        <v>Experiente</v>
      </c>
      <c r="J20" s="2" t="s">
        <v>33</v>
      </c>
    </row>
    <row r="21" spans="1:10" x14ac:dyDescent="0.25">
      <c r="A21" s="2" t="s">
        <v>93</v>
      </c>
      <c r="B21" s="2" t="s">
        <v>18</v>
      </c>
      <c r="C21" s="2" t="s">
        <v>136</v>
      </c>
      <c r="D21" s="2" t="s">
        <v>77</v>
      </c>
      <c r="E21" s="2" t="s">
        <v>152</v>
      </c>
      <c r="F21" s="2" t="s">
        <v>139</v>
      </c>
      <c r="G21" s="6">
        <v>47500000</v>
      </c>
      <c r="H21" s="5">
        <v>22</v>
      </c>
      <c r="I21" s="5" t="str">
        <f t="shared" si="0"/>
        <v>Jovem</v>
      </c>
      <c r="J21" s="2" t="s">
        <v>16</v>
      </c>
    </row>
    <row r="22" spans="1:10" x14ac:dyDescent="0.25">
      <c r="A22" s="2" t="s">
        <v>109</v>
      </c>
      <c r="B22" s="2" t="s">
        <v>18</v>
      </c>
      <c r="C22" s="2" t="s">
        <v>110</v>
      </c>
      <c r="D22" s="2" t="s">
        <v>77</v>
      </c>
      <c r="E22" s="2" t="s">
        <v>97</v>
      </c>
      <c r="F22" s="2" t="s">
        <v>112</v>
      </c>
      <c r="G22" s="6">
        <v>65000000</v>
      </c>
      <c r="H22" s="5">
        <v>26</v>
      </c>
      <c r="I22" s="5" t="str">
        <f t="shared" si="0"/>
        <v>Experiente</v>
      </c>
      <c r="J22" s="2" t="s">
        <v>16</v>
      </c>
    </row>
    <row r="23" spans="1:10" x14ac:dyDescent="0.25">
      <c r="A23" s="2" t="s">
        <v>109</v>
      </c>
      <c r="B23" s="2" t="s">
        <v>18</v>
      </c>
      <c r="C23" s="2" t="s">
        <v>114</v>
      </c>
      <c r="D23" s="2" t="s">
        <v>156</v>
      </c>
      <c r="E23" s="2" t="s">
        <v>97</v>
      </c>
      <c r="F23" s="2" t="s">
        <v>117</v>
      </c>
      <c r="G23" s="6">
        <v>41000000</v>
      </c>
      <c r="H23" s="5">
        <v>18</v>
      </c>
      <c r="I23" s="5" t="str">
        <f t="shared" si="0"/>
        <v>Muito Jovem</v>
      </c>
      <c r="J23" s="2" t="s">
        <v>16</v>
      </c>
    </row>
    <row r="24" spans="1:10" x14ac:dyDescent="0.25">
      <c r="A24" s="2" t="s">
        <v>109</v>
      </c>
      <c r="B24" s="2" t="s">
        <v>48</v>
      </c>
      <c r="C24" s="2" t="s">
        <v>149</v>
      </c>
      <c r="D24" s="2" t="s">
        <v>156</v>
      </c>
      <c r="E24" s="2" t="s">
        <v>30</v>
      </c>
      <c r="F24" s="2" t="s">
        <v>155</v>
      </c>
      <c r="G24" s="6">
        <v>13500000</v>
      </c>
      <c r="H24" s="5">
        <v>29</v>
      </c>
      <c r="I24" s="5" t="str">
        <f t="shared" si="0"/>
        <v>Experiente</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Y22"/>
  <sheetViews>
    <sheetView tabSelected="1" topLeftCell="V4" zoomScaleNormal="100" workbookViewId="0">
      <selection activeCell="Y14" sqref="Y14"/>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13.28515625" bestFit="1" customWidth="1"/>
    <col min="26" max="26" width="19.5703125" bestFit="1" customWidth="1"/>
    <col min="27" max="28" width="10.7109375" bestFit="1" customWidth="1"/>
  </cols>
  <sheetData>
    <row r="4" spans="1:25" x14ac:dyDescent="0.25">
      <c r="C4" s="7" t="s">
        <v>158</v>
      </c>
      <c r="D4" s="7" t="s">
        <v>159</v>
      </c>
      <c r="E4" s="7" t="s">
        <v>160</v>
      </c>
      <c r="F4" s="7" t="s">
        <v>161</v>
      </c>
      <c r="G4" s="7" t="s">
        <v>162</v>
      </c>
      <c r="H4" s="7" t="s">
        <v>163</v>
      </c>
    </row>
    <row r="5" spans="1:25"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5" x14ac:dyDescent="0.25">
      <c r="A14" s="8" t="s">
        <v>167</v>
      </c>
      <c r="B14" s="8" t="s">
        <v>166</v>
      </c>
      <c r="O14" s="10" t="s">
        <v>170</v>
      </c>
      <c r="P14" s="10" t="s">
        <v>171</v>
      </c>
      <c r="Y14" s="8" t="s">
        <v>177</v>
      </c>
    </row>
    <row r="15" spans="1:25" x14ac:dyDescent="0.25">
      <c r="A15" s="10" t="s">
        <v>165</v>
      </c>
      <c r="B15" s="2" t="s">
        <v>18</v>
      </c>
      <c r="C15" s="2" t="s">
        <v>48</v>
      </c>
      <c r="D15" s="2" t="s">
        <v>164</v>
      </c>
      <c r="F15" s="11" t="s">
        <v>165</v>
      </c>
      <c r="G15" s="11" t="s">
        <v>168</v>
      </c>
      <c r="O15" s="10" t="s">
        <v>169</v>
      </c>
      <c r="P15" s="2" t="s">
        <v>18</v>
      </c>
      <c r="R15" s="11" t="s">
        <v>169</v>
      </c>
      <c r="S15" s="11" t="s">
        <v>172</v>
      </c>
      <c r="Y15" s="5" t="s">
        <v>173</v>
      </c>
    </row>
    <row r="16" spans="1:2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5" t="s">
        <v>174</v>
      </c>
    </row>
    <row r="17" spans="1:25" x14ac:dyDescent="0.25">
      <c r="A17" s="2" t="s">
        <v>34</v>
      </c>
      <c r="B17" s="6">
        <v>63400000</v>
      </c>
      <c r="C17" s="6">
        <v>0</v>
      </c>
      <c r="D17" s="6">
        <v>63400000</v>
      </c>
      <c r="F17" s="2" t="s">
        <v>34</v>
      </c>
      <c r="G17" s="6">
        <f t="shared" si="0"/>
        <v>-63400000</v>
      </c>
      <c r="O17" s="2" t="s">
        <v>77</v>
      </c>
      <c r="P17" s="6">
        <v>200500000</v>
      </c>
      <c r="R17" s="2" t="s">
        <v>77</v>
      </c>
      <c r="S17" s="13">
        <f>P17/$P$19</f>
        <v>0.36243673174258856</v>
      </c>
      <c r="Y17" s="5" t="s">
        <v>175</v>
      </c>
    </row>
    <row r="18" spans="1:25"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5" t="s">
        <v>176</v>
      </c>
    </row>
    <row r="19" spans="1:25" x14ac:dyDescent="0.25">
      <c r="A19" s="2" t="s">
        <v>75</v>
      </c>
      <c r="B19" s="6">
        <v>87000000</v>
      </c>
      <c r="C19" s="6">
        <v>31300000</v>
      </c>
      <c r="D19" s="6">
        <v>118300000</v>
      </c>
      <c r="F19" s="2" t="s">
        <v>75</v>
      </c>
      <c r="G19" s="6">
        <f t="shared" si="0"/>
        <v>-55700000</v>
      </c>
      <c r="O19" s="16" t="s">
        <v>164</v>
      </c>
      <c r="P19" s="6">
        <v>553200000</v>
      </c>
      <c r="R19" s="12" t="s">
        <v>164</v>
      </c>
      <c r="S19" s="14">
        <f>P19/$P$19</f>
        <v>1</v>
      </c>
      <c r="Y19" s="15" t="s">
        <v>164</v>
      </c>
    </row>
    <row r="20" spans="1:25" x14ac:dyDescent="0.25">
      <c r="A20" s="2" t="s">
        <v>93</v>
      </c>
      <c r="B20" s="6">
        <v>133800000</v>
      </c>
      <c r="C20" s="6">
        <v>95000000</v>
      </c>
      <c r="D20" s="6">
        <v>228800000</v>
      </c>
      <c r="F20" s="2" t="s">
        <v>93</v>
      </c>
      <c r="G20" s="6">
        <f t="shared" si="0"/>
        <v>-38800000</v>
      </c>
    </row>
    <row r="21" spans="1:25" x14ac:dyDescent="0.25">
      <c r="A21" s="2" t="s">
        <v>109</v>
      </c>
      <c r="B21" s="6">
        <v>106000000</v>
      </c>
      <c r="C21" s="6">
        <v>13500000</v>
      </c>
      <c r="D21" s="6">
        <v>119500000</v>
      </c>
      <c r="F21" s="2" t="s">
        <v>109</v>
      </c>
      <c r="G21" s="6">
        <f t="shared" si="0"/>
        <v>-92500000</v>
      </c>
    </row>
    <row r="22" spans="1:25"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2026-06-22T21:53:51Z</dcterms:modified>
</cp:coreProperties>
</file>