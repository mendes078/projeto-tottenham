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37E56EBA-BA2B-48A6-8B4C-04F9D7360E57}"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<sst xmlns="http://schemas.openxmlformats.org/spreadsheetml/2006/main" count="517" uniqueCount="188">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</sst>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2">
    <xf numFmtId="0" fontId="0" fillId="0" borderId="0"/>
    <xf numFmtId="9" fontId="4" fillId="0" borderId="0" applyFont="0" applyFill="0" applyBorder="0" applyAlignment="0" applyProtection="0"/>
  </cellStyleXfs>
  <cellXfs count="21">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cellXfs>
  <cellStyles count="2">
    <cellStyle name="Normal" xfId="0" builtinId="0"/>
    <cellStyle name="Porcentagem" xfId="1" builtinId="5"/>
  </cellStyles>
  <dxfs count="95">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Defensor</c:v>
                </c:pt>
                <c:pt idx="1">
                  <c:v>Atacante</c:v>
                </c:pt>
                <c:pt idx="2">
                  <c:v>Meio-campista</c:v>
                </c:pt>
              </c:strCache>
            </c:strRef>
          </c:cat>
          <c:val>
            <c:numRef>
              <c:f>Análises!$P$16:$P$19</c:f>
              <c:numCache>
                <c:formatCode>[$£-809]#,##0.00</c:formatCode>
                <c:ptCount val="3"/>
                <c:pt idx="0">
                  <c:v>138800000</c:v>
                </c:pt>
                <c:pt idx="1">
                  <c:v>200500000</c:v>
                </c:pt>
                <c:pt idx="2">
                  <c:v>213900000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0.25090383224873464</c:v>
                </c:pt>
                <c:pt idx="1">
                  <c:v>0.36243673174258856</c:v>
                </c:pt>
                <c:pt idx="2">
                  <c:v>0.3866594360086768</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340727</xdr:colOff>
      <xdr:row>72</xdr:row>
      <xdr:rowOff>173513</xdr:rowOff>
    </xdr:from>
    <xdr:ext cx="12521313" cy="206479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290202" y="13889513"/>
          <a:ext cx="12521313"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de</a:t>
          </a:r>
          <a:r>
            <a:rPr lang="pt-BR" sz="1400" b="0" baseline="0">
              <a:solidFill>
                <a:schemeClr val="tx1"/>
              </a:solidFill>
              <a:effectLst/>
              <a:latin typeface="+mn-lt"/>
              <a:ea typeface="+mn-ea"/>
              <a:cs typeface="+mn-cs"/>
            </a:rPr>
            <a:t> todas as movimentações financeiras.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a:t>
          </a:r>
          <a:r>
            <a:rPr lang="pt-BR" sz="1400" b="0">
              <a:solidFill>
                <a:schemeClr val="tx1"/>
              </a:solidFill>
              <a:effectLst/>
              <a:latin typeface="+mn-lt"/>
              <a:ea typeface="+mn-ea"/>
              <a:cs typeface="+mn-cs"/>
            </a:rPr>
            <a:t>.</a:t>
          </a:r>
          <a:r>
            <a:rPr lang="pt-BR" sz="1400" b="0" baseline="0">
              <a:solidFill>
                <a:schemeClr val="tx1"/>
              </a:solidFill>
              <a:effectLst/>
              <a:latin typeface="+mn-lt"/>
              <a:ea typeface="+mn-ea"/>
              <a:cs typeface="+mn-cs"/>
            </a:rPr>
            <a:t> Semelhantemente, a venda de Steve Bergwijn, girando em torno de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também</a:t>
          </a:r>
          <a:r>
            <a:rPr lang="pt-BR" sz="1400" b="0" baseline="0">
              <a:solidFill>
                <a:schemeClr val="tx1"/>
              </a:solidFill>
              <a:effectLst/>
              <a:latin typeface="+mn-lt"/>
              <a:ea typeface="+mn-ea"/>
              <a:cs typeface="+mn-cs"/>
            </a:rPr>
            <a:t> trouxe impactos positivos. Embora o setor de criação das jogadas,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formado por Christian Eriksen e Pierre-Emile Højbjerg, tenha reunido </a:t>
          </a:r>
          <a:r>
            <a:rPr lang="pt-BR" sz="1400" b="1">
              <a:solidFill>
                <a:schemeClr val="tx1"/>
              </a:solidFill>
              <a:effectLst/>
              <a:latin typeface="+mn-lt"/>
              <a:ea typeface="+mn-ea"/>
              <a:cs typeface="+mn-cs"/>
            </a:rPr>
            <a:t>£40.5 milhões</a:t>
          </a:r>
          <a:r>
            <a:rPr lang="pt-BR" sz="1400" b="0">
              <a:solidFill>
                <a:schemeClr val="tx1"/>
              </a:solidFill>
              <a:effectLst/>
              <a:latin typeface="+mn-lt"/>
              <a:ea typeface="+mn-ea"/>
              <a:cs typeface="+mn-cs"/>
            </a:rPr>
            <a:t> ao todo, o atacante</a:t>
          </a:r>
          <a:r>
            <a:rPr lang="pt-BR" sz="1400" b="0" baseline="0">
              <a:solidFill>
                <a:schemeClr val="tx1"/>
              </a:solidFill>
              <a:effectLst/>
              <a:latin typeface="+mn-lt"/>
              <a:ea typeface="+mn-ea"/>
              <a:cs typeface="+mn-cs"/>
            </a:rPr>
            <a:t> holandês cobre grande parte desse valor</a:t>
          </a:r>
          <a:endParaRPr lang="pt-BR" sz="1400" b="0" i="0" baseline="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6072945"/>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60729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2</xdr:col>
      <xdr:colOff>0</xdr:colOff>
      <xdr:row>74</xdr:row>
      <xdr:rowOff>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1219200" y="140970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a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1"/>
    </i>
    <i>
      <x/>
    </i>
    <i>
      <x v="2"/>
    </i>
    <i t="grand">
      <x/>
    </i>
  </rowItems>
  <colFields count="1">
    <field x="1"/>
  </colFields>
  <colItems count="1">
    <i>
      <x v="1"/>
    </i>
  </colItems>
  <dataFields count="1">
    <dataField name="Soma do Valor das Transferências" fld="6" baseField="0" baseItem="0" numFmtId="164"/>
  </dataFields>
  <formats count="9">
    <format dxfId="8">
      <pivotArea type="all" dataOnly="0" outline="0" fieldPosition="0"/>
    </format>
    <format dxfId="7">
      <pivotArea outline="0" collapsedLevelsAreSubtotals="1" fieldPosition="0"/>
    </format>
    <format dxfId="6">
      <pivotArea type="origin" dataOnly="0" labelOnly="1" outline="0" fieldPosition="0"/>
    </format>
    <format dxfId="5">
      <pivotArea field="1" type="button" dataOnly="0" labelOnly="1" outline="0" axis="axisCol" fieldPosition="0"/>
    </format>
    <format dxfId="4">
      <pivotArea type="topRight" dataOnly="0" labelOnly="1" outline="0" fieldPosition="0"/>
    </format>
    <format dxfId="3">
      <pivotArea field="3" type="button" dataOnly="0" labelOnly="1" outline="0" axis="axisRow" fieldPosition="0"/>
    </format>
    <format dxfId="2">
      <pivotArea dataOnly="0" labelOnly="1" fieldPosition="0">
        <references count="1">
          <reference field="3" count="0"/>
        </references>
      </pivotArea>
    </format>
    <format dxfId="1">
      <pivotArea dataOnly="0" labelOnly="1" fieldPosition="0">
        <references count="1">
          <reference field="1" count="0"/>
        </references>
      </pivotArea>
    </format>
    <format dxfId="0">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14">
      <pivotArea collapsedLevelsAreSubtotals="1" fieldPosition="0">
        <references count="1">
          <reference field="0" count="0"/>
        </references>
      </pivotArea>
    </format>
    <format dxfId="13">
      <pivotArea field="0" type="button" dataOnly="0" labelOnly="1" outline="0" axis="axisRow" fieldPosition="0"/>
    </format>
    <format dxfId="12">
      <pivotArea dataOnly="0" labelOnly="1" fieldPosition="0">
        <references count="1">
          <reference field="0" count="0"/>
        </references>
      </pivotArea>
    </format>
    <format dxfId="11">
      <pivotArea dataOnly="0" labelOnly="1" fieldPosition="0">
        <references count="1">
          <reference field="1" count="0"/>
        </references>
      </pivotArea>
    </format>
    <format dxfId="10">
      <pivotArea dataOnly="0" labelOnly="1" grandCol="1" outline="0" fieldPosition="0"/>
    </format>
    <format dxfId="9">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32">
      <pivotArea collapsedLevelsAreSubtotals="1" fieldPosition="0">
        <references count="1">
          <reference field="3" count="1">
            <x v="0"/>
          </reference>
        </references>
      </pivotArea>
    </format>
    <format dxfId="31">
      <pivotArea collapsedLevelsAreSubtotals="1" fieldPosition="0">
        <references count="2">
          <reference field="2" count="2">
            <x v="6"/>
            <x v="16"/>
          </reference>
          <reference field="3" count="1" selected="0">
            <x v="0"/>
          </reference>
        </references>
      </pivotArea>
    </format>
    <format dxfId="30">
      <pivotArea collapsedLevelsAreSubtotals="1" fieldPosition="0">
        <references count="1">
          <reference field="3" count="1">
            <x v="1"/>
          </reference>
        </references>
      </pivotArea>
    </format>
    <format dxfId="29">
      <pivotArea collapsedLevelsAreSubtotals="1" fieldPosition="0">
        <references count="2">
          <reference field="2" count="2">
            <x v="9"/>
            <x v="18"/>
          </reference>
          <reference field="3" count="1" selected="0">
            <x v="1"/>
          </reference>
        </references>
      </pivotArea>
    </format>
    <format dxfId="28">
      <pivotArea collapsedLevelsAreSubtotals="1" fieldPosition="0">
        <references count="1">
          <reference field="3" count="1">
            <x v="2"/>
          </reference>
        </references>
      </pivotArea>
    </format>
    <format dxfId="27">
      <pivotArea collapsedLevelsAreSubtotals="1" fieldPosition="0">
        <references count="2">
          <reference field="2" count="2">
            <x v="2"/>
            <x v="12"/>
          </reference>
          <reference field="3" count="1" selected="0">
            <x v="2"/>
          </reference>
        </references>
      </pivotArea>
    </format>
    <format dxfId="26">
      <pivotArea type="origin" dataOnly="0" labelOnly="1" outline="0" fieldPosition="0"/>
    </format>
    <format dxfId="25">
      <pivotArea field="1" type="button" dataOnly="0" labelOnly="1" outline="0" axis="axisCol" fieldPosition="0"/>
    </format>
    <format dxfId="24">
      <pivotArea field="-2" type="button" dataOnly="0" labelOnly="1" outline="0" axis="axisCol" fieldPosition="1"/>
    </format>
    <format dxfId="23">
      <pivotArea field="3" type="button" dataOnly="0" labelOnly="1" outline="0" axis="axisRow" fieldPosition="0"/>
    </format>
    <format dxfId="22">
      <pivotArea dataOnly="0" labelOnly="1" fieldPosition="0">
        <references count="1">
          <reference field="3" count="0"/>
        </references>
      </pivotArea>
    </format>
    <format dxfId="21">
      <pivotArea dataOnly="0" labelOnly="1" fieldPosition="0">
        <references count="2">
          <reference field="2" count="2">
            <x v="6"/>
            <x v="16"/>
          </reference>
          <reference field="3" count="1" selected="0">
            <x v="0"/>
          </reference>
        </references>
      </pivotArea>
    </format>
    <format dxfId="20">
      <pivotArea dataOnly="0" labelOnly="1" fieldPosition="0">
        <references count="2">
          <reference field="2" count="2">
            <x v="9"/>
            <x v="18"/>
          </reference>
          <reference field="3" count="1" selected="0">
            <x v="1"/>
          </reference>
        </references>
      </pivotArea>
    </format>
    <format dxfId="19">
      <pivotArea dataOnly="0" labelOnly="1" fieldPosition="0">
        <references count="2">
          <reference field="2" count="2">
            <x v="2"/>
            <x v="12"/>
          </reference>
          <reference field="3" count="1" selected="0">
            <x v="2"/>
          </reference>
        </references>
      </pivotArea>
    </format>
    <format dxfId="18">
      <pivotArea dataOnly="0" labelOnly="1" fieldPosition="0">
        <references count="1">
          <reference field="1" count="0"/>
        </references>
      </pivotArea>
    </format>
    <format dxfId="17">
      <pivotArea dataOnly="0" labelOnly="1" outline="0" fieldPosition="0">
        <references count="2">
          <reference field="4294967294" count="2">
            <x v="0"/>
            <x v="1"/>
          </reference>
          <reference field="1" count="0" selected="0"/>
        </references>
      </pivotArea>
    </format>
    <format dxfId="16">
      <pivotArea grandRow="1" outline="0" collapsedLevelsAreSubtotals="1" fieldPosition="0"/>
    </format>
    <format dxfId="15">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78">
      <pivotArea type="all" dataOnly="0" outline="0" fieldPosition="0"/>
    </format>
    <format dxfId="77">
      <pivotArea outline="0" collapsedLevelsAreSubtotals="1" fieldPosition="0"/>
    </format>
    <format dxfId="76">
      <pivotArea type="origin" dataOnly="0" labelOnly="1" outline="0" fieldPosition="0"/>
    </format>
    <format dxfId="75">
      <pivotArea field="0" type="button" dataOnly="0" labelOnly="1" outline="0" axis="axisCol" fieldPosition="0"/>
    </format>
    <format dxfId="74">
      <pivotArea field="4" type="button" dataOnly="0" labelOnly="1" outline="0" axis="axisRow" fieldPosition="0"/>
    </format>
    <format dxfId="73">
      <pivotArea dataOnly="0" labelOnly="1" fieldPosition="0">
        <references count="1">
          <reference field="4" count="15">
            <x v="2"/>
            <x v="5"/>
            <x v="6"/>
            <x v="7"/>
            <x v="8"/>
            <x v="9"/>
            <x v="10"/>
            <x v="11"/>
            <x v="12"/>
            <x v="13"/>
            <x v="15"/>
            <x v="16"/>
            <x v="17"/>
            <x v="18"/>
            <x v="19"/>
          </reference>
        </references>
      </pivotArea>
    </format>
    <format dxfId="72">
      <pivotArea dataOnly="0" labelOnly="1" grandRow="1" outline="0" fieldPosition="0"/>
    </format>
    <format dxfId="71">
      <pivotArea dataOnly="0" labelOnly="1" fieldPosition="0">
        <references count="2">
          <reference field="3" count="1">
            <x v="0"/>
          </reference>
          <reference field="4" count="1" selected="0">
            <x v="2"/>
          </reference>
        </references>
      </pivotArea>
    </format>
    <format dxfId="70">
      <pivotArea dataOnly="0" labelOnly="1" fieldPosition="0">
        <references count="2">
          <reference field="3" count="1">
            <x v="8"/>
          </reference>
          <reference field="4" count="1" selected="0">
            <x v="5"/>
          </reference>
        </references>
      </pivotArea>
    </format>
    <format dxfId="69">
      <pivotArea dataOnly="0" labelOnly="1" fieldPosition="0">
        <references count="2">
          <reference field="3" count="1">
            <x v="10"/>
          </reference>
          <reference field="4" count="1" selected="0">
            <x v="6"/>
          </reference>
        </references>
      </pivotArea>
    </format>
    <format dxfId="68">
      <pivotArea dataOnly="0" labelOnly="1" fieldPosition="0">
        <references count="2">
          <reference field="3" count="1">
            <x v="2"/>
          </reference>
          <reference field="4" count="1" selected="0">
            <x v="7"/>
          </reference>
        </references>
      </pivotArea>
    </format>
    <format dxfId="67">
      <pivotArea dataOnly="0" labelOnly="1" fieldPosition="0">
        <references count="2">
          <reference field="3" count="1">
            <x v="3"/>
          </reference>
          <reference field="4" count="1" selected="0">
            <x v="8"/>
          </reference>
        </references>
      </pivotArea>
    </format>
    <format dxfId="66">
      <pivotArea dataOnly="0" labelOnly="1" fieldPosition="0">
        <references count="2">
          <reference field="3" count="2">
            <x v="12"/>
            <x v="13"/>
          </reference>
          <reference field="4" count="1" selected="0">
            <x v="9"/>
          </reference>
        </references>
      </pivotArea>
    </format>
    <format dxfId="65">
      <pivotArea dataOnly="0" labelOnly="1" fieldPosition="0">
        <references count="2">
          <reference field="3" count="1">
            <x v="8"/>
          </reference>
          <reference field="4" count="1" selected="0">
            <x v="10"/>
          </reference>
        </references>
      </pivotArea>
    </format>
    <format dxfId="64">
      <pivotArea dataOnly="0" labelOnly="1" fieldPosition="0">
        <references count="2">
          <reference field="3" count="1">
            <x v="8"/>
          </reference>
          <reference field="4" count="1" selected="0">
            <x v="11"/>
          </reference>
        </references>
      </pivotArea>
    </format>
    <format dxfId="63">
      <pivotArea dataOnly="0" labelOnly="1" fieldPosition="0">
        <references count="2">
          <reference field="3" count="1">
            <x v="6"/>
          </reference>
          <reference field="4" count="1" selected="0">
            <x v="12"/>
          </reference>
        </references>
      </pivotArea>
    </format>
    <format dxfId="62">
      <pivotArea dataOnly="0" labelOnly="1" fieldPosition="0">
        <references count="2">
          <reference field="3" count="1">
            <x v="11"/>
          </reference>
          <reference field="4" count="1" selected="0">
            <x v="13"/>
          </reference>
        </references>
      </pivotArea>
    </format>
    <format dxfId="61">
      <pivotArea dataOnly="0" labelOnly="1" fieldPosition="0">
        <references count="2">
          <reference field="3" count="1">
            <x v="7"/>
          </reference>
          <reference field="4" count="1" selected="0">
            <x v="15"/>
          </reference>
        </references>
      </pivotArea>
    </format>
    <format dxfId="60">
      <pivotArea dataOnly="0" labelOnly="1" fieldPosition="0">
        <references count="2">
          <reference field="3" count="1">
            <x v="5"/>
          </reference>
          <reference field="4" count="1" selected="0">
            <x v="16"/>
          </reference>
        </references>
      </pivotArea>
    </format>
    <format dxfId="59">
      <pivotArea dataOnly="0" labelOnly="1" fieldPosition="0">
        <references count="2">
          <reference field="3" count="1">
            <x v="4"/>
          </reference>
          <reference field="4" count="1" selected="0">
            <x v="17"/>
          </reference>
        </references>
      </pivotArea>
    </format>
    <format dxfId="58">
      <pivotArea dataOnly="0" labelOnly="1" fieldPosition="0">
        <references count="2">
          <reference field="3" count="1">
            <x v="7"/>
          </reference>
          <reference field="4" count="1" selected="0">
            <x v="18"/>
          </reference>
        </references>
      </pivotArea>
    </format>
    <format dxfId="57">
      <pivotArea dataOnly="0" labelOnly="1" fieldPosition="0">
        <references count="2">
          <reference field="3" count="1">
            <x v="9"/>
          </reference>
          <reference field="4" count="1" selected="0">
            <x v="19"/>
          </reference>
        </references>
      </pivotArea>
    </format>
    <format dxfId="56">
      <pivotArea dataOnly="0" labelOnly="1" fieldPosition="0">
        <references count="1">
          <reference field="0" count="0"/>
        </references>
      </pivotArea>
    </format>
    <format dxfId="55">
      <pivotArea type="all" dataOnly="0" outline="0" fieldPosition="0"/>
    </format>
    <format dxfId="54">
      <pivotArea outline="0" collapsedLevelsAreSubtotals="1" fieldPosition="0"/>
    </format>
    <format dxfId="53">
      <pivotArea type="origin" dataOnly="0" labelOnly="1" outline="0" fieldPosition="0"/>
    </format>
    <format dxfId="52">
      <pivotArea field="0" type="button" dataOnly="0" labelOnly="1" outline="0" axis="axisCol" fieldPosition="0"/>
    </format>
    <format dxfId="51">
      <pivotArea field="4" type="button" dataOnly="0" labelOnly="1" outline="0" axis="axisRow" fieldPosition="0"/>
    </format>
    <format dxfId="50">
      <pivotArea dataOnly="0" labelOnly="1" fieldPosition="0">
        <references count="1">
          <reference field="4" count="15">
            <x v="2"/>
            <x v="5"/>
            <x v="6"/>
            <x v="7"/>
            <x v="8"/>
            <x v="9"/>
            <x v="10"/>
            <x v="11"/>
            <x v="12"/>
            <x v="13"/>
            <x v="15"/>
            <x v="16"/>
            <x v="17"/>
            <x v="18"/>
            <x v="19"/>
          </reference>
        </references>
      </pivotArea>
    </format>
    <format dxfId="49">
      <pivotArea dataOnly="0" labelOnly="1" grandRow="1" outline="0" fieldPosition="0"/>
    </format>
    <format dxfId="48">
      <pivotArea dataOnly="0" labelOnly="1" fieldPosition="0">
        <references count="2">
          <reference field="3" count="1">
            <x v="0"/>
          </reference>
          <reference field="4" count="1" selected="0">
            <x v="2"/>
          </reference>
        </references>
      </pivotArea>
    </format>
    <format dxfId="47">
      <pivotArea dataOnly="0" labelOnly="1" fieldPosition="0">
        <references count="2">
          <reference field="3" count="1">
            <x v="8"/>
          </reference>
          <reference field="4" count="1" selected="0">
            <x v="5"/>
          </reference>
        </references>
      </pivotArea>
    </format>
    <format dxfId="46">
      <pivotArea dataOnly="0" labelOnly="1" fieldPosition="0">
        <references count="2">
          <reference field="3" count="1">
            <x v="10"/>
          </reference>
          <reference field="4" count="1" selected="0">
            <x v="6"/>
          </reference>
        </references>
      </pivotArea>
    </format>
    <format dxfId="45">
      <pivotArea dataOnly="0" labelOnly="1" fieldPosition="0">
        <references count="2">
          <reference field="3" count="1">
            <x v="2"/>
          </reference>
          <reference field="4" count="1" selected="0">
            <x v="7"/>
          </reference>
        </references>
      </pivotArea>
    </format>
    <format dxfId="44">
      <pivotArea dataOnly="0" labelOnly="1" fieldPosition="0">
        <references count="2">
          <reference field="3" count="1">
            <x v="3"/>
          </reference>
          <reference field="4" count="1" selected="0">
            <x v="8"/>
          </reference>
        </references>
      </pivotArea>
    </format>
    <format dxfId="43">
      <pivotArea dataOnly="0" labelOnly="1" fieldPosition="0">
        <references count="2">
          <reference field="3" count="2">
            <x v="12"/>
            <x v="13"/>
          </reference>
          <reference field="4" count="1" selected="0">
            <x v="9"/>
          </reference>
        </references>
      </pivotArea>
    </format>
    <format dxfId="42">
      <pivotArea dataOnly="0" labelOnly="1" fieldPosition="0">
        <references count="2">
          <reference field="3" count="1">
            <x v="8"/>
          </reference>
          <reference field="4" count="1" selected="0">
            <x v="10"/>
          </reference>
        </references>
      </pivotArea>
    </format>
    <format dxfId="41">
      <pivotArea dataOnly="0" labelOnly="1" fieldPosition="0">
        <references count="2">
          <reference field="3" count="1">
            <x v="8"/>
          </reference>
          <reference field="4" count="1" selected="0">
            <x v="11"/>
          </reference>
        </references>
      </pivotArea>
    </format>
    <format dxfId="40">
      <pivotArea dataOnly="0" labelOnly="1" fieldPosition="0">
        <references count="2">
          <reference field="3" count="1">
            <x v="6"/>
          </reference>
          <reference field="4" count="1" selected="0">
            <x v="12"/>
          </reference>
        </references>
      </pivotArea>
    </format>
    <format dxfId="39">
      <pivotArea dataOnly="0" labelOnly="1" fieldPosition="0">
        <references count="2">
          <reference field="3" count="1">
            <x v="11"/>
          </reference>
          <reference field="4" count="1" selected="0">
            <x v="13"/>
          </reference>
        </references>
      </pivotArea>
    </format>
    <format dxfId="38">
      <pivotArea dataOnly="0" labelOnly="1" fieldPosition="0">
        <references count="2">
          <reference field="3" count="1">
            <x v="7"/>
          </reference>
          <reference field="4" count="1" selected="0">
            <x v="15"/>
          </reference>
        </references>
      </pivotArea>
    </format>
    <format dxfId="37">
      <pivotArea dataOnly="0" labelOnly="1" fieldPosition="0">
        <references count="2">
          <reference field="3" count="1">
            <x v="5"/>
          </reference>
          <reference field="4" count="1" selected="0">
            <x v="16"/>
          </reference>
        </references>
      </pivotArea>
    </format>
    <format dxfId="36">
      <pivotArea dataOnly="0" labelOnly="1" fieldPosition="0">
        <references count="2">
          <reference field="3" count="1">
            <x v="4"/>
          </reference>
          <reference field="4" count="1" selected="0">
            <x v="17"/>
          </reference>
        </references>
      </pivotArea>
    </format>
    <format dxfId="35">
      <pivotArea dataOnly="0" labelOnly="1" fieldPosition="0">
        <references count="2">
          <reference field="3" count="1">
            <x v="7"/>
          </reference>
          <reference field="4" count="1" selected="0">
            <x v="18"/>
          </reference>
        </references>
      </pivotArea>
    </format>
    <format dxfId="34">
      <pivotArea dataOnly="0" labelOnly="1" fieldPosition="0">
        <references count="2">
          <reference field="3" count="1">
            <x v="9"/>
          </reference>
          <reference field="4" count="1" selected="0">
            <x v="19"/>
          </reference>
        </references>
      </pivotArea>
    </format>
    <format dxfId="33">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87">
      <pivotArea collapsedLevelsAreSubtotals="1" fieldPosition="0">
        <references count="1">
          <reference field="8" count="0"/>
        </references>
      </pivotArea>
    </format>
    <format dxfId="86">
      <pivotArea field="8" type="button" dataOnly="0" labelOnly="1" outline="0" axis="axisRow" fieldPosition="0"/>
    </format>
    <format dxfId="85">
      <pivotArea dataOnly="0" labelOnly="1" fieldPosition="0">
        <references count="1">
          <reference field="8" count="0"/>
        </references>
      </pivotArea>
    </format>
    <format dxfId="84">
      <pivotArea dataOnly="0" labelOnly="1" outline="0" axis="axisValues" fieldPosition="0"/>
    </format>
    <format dxfId="83">
      <pivotArea grandRow="1" outline="0" collapsedLevelsAreSubtotals="1" fieldPosition="0"/>
    </format>
    <format dxfId="82">
      <pivotArea dataOnly="0" labelOnly="1" grandRow="1" outline="0" fieldPosition="0"/>
    </format>
    <format dxfId="81">
      <pivotArea dataOnly="0" labelOnly="1" fieldPosition="0">
        <references count="1">
          <reference field="1" count="0"/>
        </references>
      </pivotArea>
    </format>
    <format dxfId="80">
      <pivotArea field="1" type="button" dataOnly="0" labelOnly="1" outline="0" axis="axisCol" fieldPosition="0"/>
    </format>
    <format dxfId="79">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94">
      <pivotArea collapsedLevelsAreSubtotals="1" fieldPosition="0">
        <references count="1">
          <reference field="3" count="0"/>
        </references>
      </pivotArea>
    </format>
    <format dxfId="93">
      <pivotArea field="3" type="button" dataOnly="0" labelOnly="1" outline="0" axis="axisRow" fieldPosition="0"/>
    </format>
    <format dxfId="92">
      <pivotArea dataOnly="0" labelOnly="1" fieldPosition="0">
        <references count="1">
          <reference field="3" count="0"/>
        </references>
      </pivotArea>
    </format>
    <format dxfId="91">
      <pivotArea dataOnly="0" labelOnly="1" outline="0" axis="axisValues" fieldPosition="0"/>
    </format>
    <format dxfId="90">
      <pivotArea grandRow="1" outline="0" collapsedLevelsAreSubtotals="1" fieldPosition="0"/>
    </format>
    <format dxfId="89">
      <pivotArea dataOnly="0" labelOnly="1" fieldPosition="0">
        <references count="1">
          <reference field="0" count="0"/>
        </references>
      </pivotArea>
    </format>
    <format dxfId="88">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7" zoomScaleNormal="100" workbookViewId="0">
      <selection activeCell="D58" sqref="D58"/>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A2" zoomScaleNormal="100" workbookViewId="0">
      <selection activeCell="A2" sqref="A2:J2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I47"/>
  <sheetViews>
    <sheetView tabSelected="1" topLeftCell="AZ73" zoomScaleNormal="100" workbookViewId="0">
      <selection activeCell="K6" sqref="K6"/>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13.5703125" bestFit="1" customWidth="1"/>
    <col min="65" max="65" width="17.42578125" bestFit="1" customWidth="1"/>
    <col min="66" max="66" width="20.7109375" bestFit="1" customWidth="1"/>
    <col min="67" max="67" width="11" bestFit="1" customWidth="1"/>
    <col min="68" max="68" width="18.5703125" bestFit="1" customWidth="1"/>
    <col min="69" max="69" width="15.5703125" bestFit="1" customWidth="1"/>
    <col min="70" max="70" width="16" bestFit="1" customWidth="1"/>
    <col min="71" max="72" width="18" bestFit="1" customWidth="1"/>
    <col min="73" max="73" width="14.28515625" bestFit="1" customWidth="1"/>
    <col min="74" max="74" width="11" bestFit="1" customWidth="1"/>
  </cols>
  <sheetData>
    <row r="4" spans="1:58" x14ac:dyDescent="0.25">
      <c r="C4" s="7" t="s">
        <v>158</v>
      </c>
      <c r="D4" s="7" t="s">
        <v>159</v>
      </c>
      <c r="E4" s="7" t="s">
        <v>160</v>
      </c>
      <c r="F4" s="7" t="s">
        <v>161</v>
      </c>
      <c r="G4" s="7" t="s">
        <v>162</v>
      </c>
      <c r="H4" s="7" t="s">
        <v>163</v>
      </c>
      <c r="I4" s="7" t="s">
        <v>187</v>
      </c>
    </row>
    <row r="5" spans="1:5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5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5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58" x14ac:dyDescent="0.25">
      <c r="A16" s="2" t="s">
        <v>9</v>
      </c>
      <c r="B16" s="6">
        <v>92000000</v>
      </c>
      <c r="C16" s="6">
        <v>27000000</v>
      </c>
      <c r="D16" s="6">
        <v>119000000</v>
      </c>
      <c r="F16" s="2" t="s">
        <v>9</v>
      </c>
      <c r="G16" s="6">
        <f t="shared" ref="G16:G22" si="0">C16-B16</f>
        <v>-65000000</v>
      </c>
      <c r="O16" s="2" t="s">
        <v>70</v>
      </c>
      <c r="P16" s="6">
        <v>138800000</v>
      </c>
      <c r="R16" s="2" t="s">
        <v>156</v>
      </c>
      <c r="S16" s="13">
        <f>P16/$P$19</f>
        <v>0.25090383224873464</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row>
    <row r="17" spans="1:61"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row>
    <row r="18" spans="1:61" x14ac:dyDescent="0.25">
      <c r="A18" s="2" t="s">
        <v>55</v>
      </c>
      <c r="B18" s="6">
        <v>71000000</v>
      </c>
      <c r="C18" s="6">
        <v>13000000</v>
      </c>
      <c r="D18" s="6">
        <v>84000000</v>
      </c>
      <c r="F18" s="2" t="s">
        <v>55</v>
      </c>
      <c r="G18" s="6">
        <f t="shared" si="0"/>
        <v>-58000000</v>
      </c>
      <c r="O18" s="2" t="s">
        <v>156</v>
      </c>
      <c r="P18" s="6">
        <v>213900000</v>
      </c>
      <c r="R18" s="2" t="s">
        <v>70</v>
      </c>
      <c r="S18" s="13">
        <f>P18/$P$19</f>
        <v>0.3866594360086768</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61"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61"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row>
    <row r="21" spans="1:61"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row>
    <row r="22" spans="1:61"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61" x14ac:dyDescent="0.25">
      <c r="AK23" s="2" t="s">
        <v>30</v>
      </c>
      <c r="AL23" s="2">
        <v>1</v>
      </c>
      <c r="AN23" s="2" t="s">
        <v>78</v>
      </c>
      <c r="AO23" s="2">
        <v>1</v>
      </c>
      <c r="BA23" s="2" t="s">
        <v>70</v>
      </c>
      <c r="BB23" s="6">
        <v>13000000</v>
      </c>
      <c r="BC23" s="13">
        <v>7.2302558398220251E-2</v>
      </c>
    </row>
    <row r="24" spans="1:61" x14ac:dyDescent="0.25">
      <c r="AK24" s="2" t="s">
        <v>152</v>
      </c>
      <c r="AL24" s="2">
        <v>1</v>
      </c>
      <c r="AN24" s="2" t="s">
        <v>153</v>
      </c>
      <c r="AO24" s="2">
        <v>1</v>
      </c>
      <c r="BA24" s="2" t="s">
        <v>69</v>
      </c>
      <c r="BB24" s="6">
        <v>13000000</v>
      </c>
      <c r="BC24" s="13">
        <v>7.2302558398220251E-2</v>
      </c>
    </row>
    <row r="25" spans="1:61" x14ac:dyDescent="0.25">
      <c r="AK25" s="2" t="s">
        <v>78</v>
      </c>
      <c r="AL25" s="2">
        <v>1</v>
      </c>
      <c r="AN25" s="2" t="s">
        <v>124</v>
      </c>
      <c r="AO25" s="2">
        <v>1</v>
      </c>
      <c r="BA25" s="2" t="s">
        <v>49</v>
      </c>
      <c r="BB25" s="6">
        <v>0</v>
      </c>
      <c r="BC25" s="13">
        <v>0</v>
      </c>
      <c r="BH25" s="2"/>
      <c r="BI25" s="6"/>
    </row>
    <row r="26" spans="1:61" x14ac:dyDescent="0.25">
      <c r="AK26" s="2" t="s">
        <v>64</v>
      </c>
      <c r="AL26" s="2">
        <v>1</v>
      </c>
      <c r="AN26" s="2" t="s">
        <v>65</v>
      </c>
      <c r="AO26" s="2">
        <v>2</v>
      </c>
      <c r="BA26" s="9" t="s">
        <v>164</v>
      </c>
      <c r="BB26" s="6">
        <v>179800000</v>
      </c>
      <c r="BC26" s="13">
        <v>1</v>
      </c>
    </row>
    <row r="27" spans="1:61" x14ac:dyDescent="0.25">
      <c r="AK27" s="2" t="s">
        <v>90</v>
      </c>
      <c r="AL27" s="2">
        <v>2</v>
      </c>
      <c r="AN27" s="2" t="s">
        <v>64</v>
      </c>
      <c r="AO27" s="2">
        <v>1</v>
      </c>
    </row>
    <row r="28" spans="1:61" x14ac:dyDescent="0.25">
      <c r="AK28" s="2" t="s">
        <v>97</v>
      </c>
      <c r="AL28" s="2">
        <v>3</v>
      </c>
      <c r="AN28" s="2" t="s">
        <v>129</v>
      </c>
      <c r="AO28" s="2">
        <v>1</v>
      </c>
    </row>
    <row r="29" spans="1:61" x14ac:dyDescent="0.25">
      <c r="AK29" s="9" t="s">
        <v>164</v>
      </c>
      <c r="AL29" s="2">
        <v>16</v>
      </c>
      <c r="AN29" s="2" t="s">
        <v>117</v>
      </c>
      <c r="AO29" s="2">
        <v>1</v>
      </c>
    </row>
    <row r="30" spans="1:61" x14ac:dyDescent="0.25">
      <c r="AN30" s="2" t="s">
        <v>97</v>
      </c>
      <c r="AO30" s="2">
        <v>1</v>
      </c>
    </row>
    <row r="31" spans="1:61" x14ac:dyDescent="0.25">
      <c r="AN31" s="2" t="s">
        <v>98</v>
      </c>
      <c r="AO31" s="2">
        <v>1</v>
      </c>
    </row>
    <row r="32" spans="1:61" x14ac:dyDescent="0.25">
      <c r="AN32" s="2" t="s">
        <v>97</v>
      </c>
      <c r="AO32" s="2">
        <v>1</v>
      </c>
    </row>
    <row r="33" spans="40:41" x14ac:dyDescent="0.25">
      <c r="AN33" s="2" t="s">
        <v>14</v>
      </c>
      <c r="AO33" s="2">
        <v>1</v>
      </c>
    </row>
    <row r="34" spans="40:41" x14ac:dyDescent="0.25">
      <c r="AN34" s="2" t="s">
        <v>13</v>
      </c>
      <c r="AO34" s="2">
        <v>1</v>
      </c>
    </row>
    <row r="35" spans="40:41" x14ac:dyDescent="0.25">
      <c r="AN35" s="2" t="s">
        <v>139</v>
      </c>
      <c r="AO35" s="2">
        <v>1</v>
      </c>
    </row>
    <row r="36" spans="40:41" x14ac:dyDescent="0.25">
      <c r="AN36" s="2" t="s">
        <v>152</v>
      </c>
      <c r="AO36" s="2">
        <v>1</v>
      </c>
    </row>
    <row r="37" spans="40:41" x14ac:dyDescent="0.25">
      <c r="AN37" s="2" t="s">
        <v>22</v>
      </c>
      <c r="AO37" s="2">
        <v>1</v>
      </c>
    </row>
    <row r="38" spans="40:41" x14ac:dyDescent="0.25">
      <c r="AN38" s="2" t="s">
        <v>90</v>
      </c>
      <c r="AO38" s="2">
        <v>1</v>
      </c>
    </row>
    <row r="39" spans="40:41" x14ac:dyDescent="0.25">
      <c r="AN39" s="2" t="s">
        <v>45</v>
      </c>
      <c r="AO39" s="2">
        <v>1</v>
      </c>
    </row>
    <row r="40" spans="40:41" x14ac:dyDescent="0.25">
      <c r="AN40" s="2" t="s">
        <v>44</v>
      </c>
      <c r="AO40" s="2">
        <v>1</v>
      </c>
    </row>
    <row r="41" spans="40:41" x14ac:dyDescent="0.25">
      <c r="AN41" s="2" t="s">
        <v>38</v>
      </c>
      <c r="AO41" s="2">
        <v>1</v>
      </c>
    </row>
    <row r="42" spans="40:41" x14ac:dyDescent="0.25">
      <c r="AN42" s="2" t="s">
        <v>30</v>
      </c>
      <c r="AO42" s="2">
        <v>1</v>
      </c>
    </row>
    <row r="43" spans="40:41" x14ac:dyDescent="0.25">
      <c r="AN43" s="2" t="s">
        <v>102</v>
      </c>
      <c r="AO43" s="2">
        <v>1</v>
      </c>
    </row>
    <row r="44" spans="40:41" x14ac:dyDescent="0.25">
      <c r="AN44" s="2" t="s">
        <v>90</v>
      </c>
      <c r="AO44" s="2">
        <v>1</v>
      </c>
    </row>
    <row r="45" spans="40:41" x14ac:dyDescent="0.25">
      <c r="AN45" s="2" t="s">
        <v>134</v>
      </c>
      <c r="AO45" s="2">
        <v>1</v>
      </c>
    </row>
    <row r="46" spans="40:41" x14ac:dyDescent="0.25">
      <c r="AN46" s="2" t="s">
        <v>132</v>
      </c>
      <c r="AO46" s="2">
        <v>1</v>
      </c>
    </row>
    <row r="47" spans="40:41"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95" workbookViewId="0">
      <selection activeCell="F103" sqref="F103:G108"/>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2026-07-07T15:08:10Z</dcterms:modified>
</cp:coreProperties>
</file>