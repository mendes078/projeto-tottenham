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E674E499-9D7C-44D5-B219-297EDF0556CD}"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6" l="1"/>
  <c r="G22" i="6"/>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<sst xmlns="http://schemas.openxmlformats.org/spreadsheetml/2006/main" count="532" uniqueCount="203">
  <si>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</si>
  <si>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</si>
  <si>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</si>
  <si>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</si>
  <si>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</si>
  <si>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</si>
  <si>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</si>
  <si>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</si>
  <si>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</si>
  <si>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</si>
  <si>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</si>
  <si>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</si>
  <si>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</si>
  <si>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</si>
  <si>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</si>
  <si>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</si>
  <si>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</si>
  <si>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</si>
  <si>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</si>
  <si>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</si>
  <si>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</si>
  <si>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</si>
  <si>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</si>
  <si>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</si>
  <si>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</si>
  <si>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</si>
  <si>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</si>
  <si>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</si>
  <si>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</si>
  <si>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</si>
  <si>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</si>
  <si>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</si>
  <si>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</si>
  <si>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</si>
  <si>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</si>
  <si>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</si>
  <si>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</si>
  <si>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</si>
  <si>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</si>
  <si>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</si>
  <si>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</si>
  <si>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</si>
  <si>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</si>
  <si>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</si>
  <si>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</si>
  <si>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</si>
  <si>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</si>
  <si>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</si>
  <si>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</si>
  <si>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</si>
  <si>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</si>
  <si>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</si>
  <si>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</si>
  <si>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</si>
  <si>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</si>
  <si>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</si>
  <si>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</si>
  <si>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</si>
  <si>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</si>
  <si>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</si>
  <si>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</si>
  <si>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</si>
  <si>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</si>
  <si>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</si>
  <si>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</si>
  <si>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</si>
  <si>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</si>
  <si>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</si>
  <si>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</si>
  <si>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</si>
  <si>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</si>
  <si>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</si>
  <si>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</si>
  <si>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</si>
  <si>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</si>
  <si>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</si>
  <si>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</si>
  <si>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</si>
  <si>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</si>
  <si>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</si>
  <si>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</si>
  <si>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</si>
  <si>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</si>
  <si>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</si>
  <si>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</si>
  <si>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</si>
  <si>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</si>
  <si>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</si>
  <si>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</si>
  <si>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</si>
  <si>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</si>
  <si>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</si>
  <si>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</si>
  <si>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</si>
  <si>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</si>
  <si>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</si>
  <si>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</si>
  <si>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</si>
  <si>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</si>
  <si>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</si>
  <si>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</si>
  <si>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</si>
  <si>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</si>
  <si>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</si>
  <si>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</si>
  <si>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</si>
  <si>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</si>
  <si>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</si>
  <si>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</si>
  <si>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</si>
  <si>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</si>
  <si>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</si>
  <si>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</si>
  <si>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</si>
  <si>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</si>
  <si>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</si>
  <si>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</si>
  <si>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</si>
  <si>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</si>
  <si>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</si>
  <si>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</si>
  <si>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</si>
  <si>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</si>
  <si>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</si>
  <si>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</si>
  <si>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</si>
  <si>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</si>
  <si>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</si>
  <si>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</si>
  <si>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</si>
  <si>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</si>
  <si>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</si>
  <si>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</si>
  <si>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</si>
  <si>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</si>
  <si>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</si>
  <si>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</si>
  <si>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</si>
  <si>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</si>
  <si>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</si>
  <si>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</si>
  <si>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</si>
  <si>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</si>
  <si>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</si>
  <si>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</si>
  <si>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</si>
  <si>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</si>
  <si>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</si>
  <si>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</si>
  <si>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</si>
  <si>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</si>
  <si>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</si>
  <si>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</si>
  <si>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</si>
  <si>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</si>
  <si>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</si>
  <si>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</si>
  <si>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</si>
  <si>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</si>
  <si>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</si>
  <si>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</si>
  <si>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</si>
  <si>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</si>
  <si>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</si>
  <si>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</si>
  <si>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</si>
  <si>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</si>
  <si>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</si>
  <si>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</si>
  <si>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</si>
  <si>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</si>
  <si>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</si>
  <si>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</si>
  <si>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</si>
  <si>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</si>
  <si>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</si>
  <si>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</si>
  <si>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</si>
  <si>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</si>
  <si>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</si>
  <si>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</si>
  <si>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</si>
  <si>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</si>
  <si>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</si>
  <si>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</si>
  <si>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</si>
  <si>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</si>
  <si>
    <t>Saídas/Vendas de Jogadores em %</t>
  </si>
  <si>
    <t>Investimento no Período</t>
  </si>
  <si>
    <t>Retorno no Período</t>
  </si>
  <si>
    <t>Saldo Total no Período</t>
  </si>
  <si>
    <t>Inv. em Meio-campistas</t>
  </si>
  <si>
    <t>Inv. em Atacantes</t>
  </si>
  <si>
    <t>Inv. em Defensores</t>
  </si>
  <si>
    <t>Jogadores Ingleses</t>
  </si>
  <si>
    <t>Jogadores Holandeses</t>
  </si>
  <si>
    <t>Cont. de Jovens</t>
  </si>
  <si>
    <t>Cont. de Experientes</t>
  </si>
  <si>
    <t>Cont. de Veteranos</t>
  </si>
  <si>
    <t>Ret. de Meio-campistas</t>
  </si>
  <si>
    <t>Ret. de Atacantes</t>
  </si>
  <si>
    <t>Ret. de Defensores</t>
  </si>
  <si>
    <t>Nacionalidades Diversas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</si>
</sst>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7"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
      <sz val="12"/>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3" tint="0.7999816888943144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4" fillId="0" borderId="0" applyFont="0" applyFill="0" applyBorder="0" applyAlignment="0" applyProtection="0"/>
  </cellStyleXfs>
  <cellXfs count="27">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xf numFmtId="9" fontId="0" fillId="0" borderId="0" xfId="0" applyNumberFormat="1"/>
    <xf numFmtId="0" fontId="5" fillId="0" borderId="0" xfId="0" applyFont="1"/>
    <xf numFmtId="0" fontId="6" fillId="2" borderId="0" xfId="0" applyFont="1" applyFill="1" applyAlignment="1">
      <alignment horizontal="center"/>
    </xf>
    <xf numFmtId="164" fontId="0" fillId="0" borderId="2" xfId="0" applyNumberFormat="1" applyBorder="1" applyAlignment="1">
      <alignment horizontal="center"/>
    </xf>
    <xf numFmtId="165" fontId="0" fillId="0" borderId="0" xfId="1" applyNumberFormat="1" applyFont="1" applyAlignment="1">
      <alignment horizontal="center"/>
    </xf>
    <xf numFmtId="0" fontId="6" fillId="0" borderId="0" xfId="0" applyFont="1" applyAlignment="1">
      <alignment horizontal="center"/>
    </xf>
    <xf numFmtId="0" fontId="6" fillId="4" borderId="0" xfId="0" applyFont="1" applyFill="1" applyAlignment="1">
      <alignment horizontal="center"/>
    </xf>
  </cellXfs>
  <cellStyles count="2">
    <cellStyle name="Normal" xfId="0" builtinId="0"/>
    <cellStyle name="Porcentagem" xfId="1" builtinId="5"/>
  </cellStyles>
  <dxfs count="95">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características definiram a estratégia do Tottenham</a:t>
          </a:r>
          <a:r>
            <a:rPr lang="pt-BR" sz="1200" b="1" baseline="0"/>
            <a:t> Hotspur no mercado de transferências entre as temporadas 2019/20 e 2024/25</a:t>
          </a:r>
          <a:r>
            <a:rPr lang="pt-BR" sz="1200" b="1"/>
            <a:t>?</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150018</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435153" y="2087306"/>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51</xdr:col>
      <xdr:colOff>581185</xdr:colOff>
      <xdr:row>69</xdr:row>
      <xdr:rowOff>113008</xdr:rowOff>
    </xdr:from>
    <xdr:ext cx="1781963" cy="311496"/>
    <xdr:sp macro="" textlink="">
      <xdr:nvSpPr>
        <xdr:cNvPr id="33" name="CaixaDeTexto 32">
          <a:extLst>
            <a:ext uri="{FF2B5EF4-FFF2-40B4-BE49-F238E27FC236}">
              <a16:creationId xmlns:a16="http://schemas.microsoft.com/office/drawing/2014/main" id="{9B05069A-EEB4-42D4-9F08-80E24546E4AA}"/>
            </a:ext>
          </a:extLst>
        </xdr:cNvPr>
        <xdr:cNvSpPr txBox="1"/>
      </xdr:nvSpPr>
      <xdr:spPr>
        <a:xfrm>
          <a:off x="51459215" y="13480296"/>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51</xdr:col>
      <xdr:colOff>495942</xdr:colOff>
      <xdr:row>71</xdr:row>
      <xdr:rowOff>106664</xdr:rowOff>
    </xdr:from>
    <xdr:ext cx="12668083" cy="2941446"/>
    <xdr:sp macro="" textlink="">
      <xdr:nvSpPr>
        <xdr:cNvPr id="35" name="CaixaDeTexto 34">
          <a:extLst>
            <a:ext uri="{FF2B5EF4-FFF2-40B4-BE49-F238E27FC236}">
              <a16:creationId xmlns:a16="http://schemas.microsoft.com/office/drawing/2014/main" id="{794FF18C-FFBB-4D14-8AC1-6C1ABCA94038}"/>
            </a:ext>
          </a:extLst>
        </xdr:cNvPr>
        <xdr:cNvSpPr txBox="1"/>
      </xdr:nvSpPr>
      <xdr:spPr>
        <a:xfrm>
          <a:off x="53445417" y="13632164"/>
          <a:ext cx="12668083" cy="2941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Após o período analisado, identificou-se que o Tottenham Hotspur reuniu cerca de </a:t>
          </a:r>
          <a:r>
            <a:rPr lang="pt-BR" sz="1400"/>
            <a:t>£179.8 milhões através das</a:t>
          </a:r>
          <a:r>
            <a:rPr lang="pt-BR" sz="1400" baseline="0"/>
            <a:t> vendas e saídas de jogadores. O valor contrasta</a:t>
          </a:r>
          <a:br>
            <a:rPr lang="pt-BR" sz="1400" baseline="0"/>
          </a:br>
          <a:r>
            <a:rPr lang="pt-BR" sz="1400" baseline="0"/>
            <a:t>significativamente com a quantia de </a:t>
          </a:r>
          <a:r>
            <a:rPr lang="pt-BR" sz="1400">
              <a:solidFill>
                <a:schemeClr val="tx1"/>
              </a:solidFill>
              <a:effectLst/>
              <a:latin typeface="+mn-lt"/>
              <a:ea typeface="+mn-ea"/>
              <a:cs typeface="+mn-cs"/>
            </a:rPr>
            <a:t>£553.2 milhões gasta pelo clube em contratações ao longo do mesmo espaço de tempo, representando aproximadamente</a:t>
          </a:r>
          <a:br>
            <a:rPr lang="pt-BR" sz="1400">
              <a:solidFill>
                <a:schemeClr val="tx1"/>
              </a:solidFill>
              <a:effectLst/>
              <a:latin typeface="+mn-lt"/>
              <a:ea typeface="+mn-ea"/>
              <a:cs typeface="+mn-cs"/>
            </a:rPr>
          </a:br>
          <a:r>
            <a:rPr lang="pt-BR" sz="1400" b="1">
              <a:solidFill>
                <a:schemeClr val="tx1"/>
              </a:solidFill>
              <a:effectLst/>
              <a:latin typeface="+mn-lt"/>
              <a:ea typeface="+mn-ea"/>
              <a:cs typeface="+mn-cs"/>
            </a:rPr>
            <a:t>24,5% </a:t>
          </a:r>
          <a:r>
            <a:rPr lang="pt-BR" sz="1400" b="0">
              <a:solidFill>
                <a:schemeClr val="tx1"/>
              </a:solidFill>
              <a:effectLst/>
              <a:latin typeface="+mn-lt"/>
              <a:ea typeface="+mn-ea"/>
              <a:cs typeface="+mn-cs"/>
            </a:rPr>
            <a:t>do</a:t>
          </a:r>
          <a:r>
            <a:rPr lang="pt-BR" sz="1400" b="0" baseline="0">
              <a:solidFill>
                <a:schemeClr val="tx1"/>
              </a:solidFill>
              <a:effectLst/>
              <a:latin typeface="+mn-lt"/>
              <a:ea typeface="+mn-ea"/>
              <a:cs typeface="+mn-cs"/>
            </a:rPr>
            <a:t> montante aplicado pelo clube no mercado. As despedidas consistiram em atacantes, meio-campistas e defensores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espelhando, respectivamente,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22,5%</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 </a:t>
          </a:r>
          <a:r>
            <a:rPr lang="pt-BR" sz="1400" b="1" i="0" baseline="0">
              <a:solidFill>
                <a:schemeClr val="tx1"/>
              </a:solidFill>
              <a:effectLst/>
              <a:latin typeface="+mn-lt"/>
              <a:ea typeface="+mn-ea"/>
              <a:cs typeface="+mn-cs"/>
            </a:rPr>
            <a:t>7,2% </a:t>
          </a:r>
          <a:r>
            <a:rPr lang="pt-BR" sz="1400" b="0" i="0" baseline="0">
              <a:solidFill>
                <a:schemeClr val="tx1"/>
              </a:solidFill>
              <a:effectLst/>
              <a:latin typeface="+mn-lt"/>
              <a:ea typeface="+mn-ea"/>
              <a:cs typeface="+mn-cs"/>
            </a:rPr>
            <a:t>do total.</a:t>
          </a: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 e que representa </a:t>
          </a:r>
          <a:r>
            <a:rPr lang="pt-BR" sz="1400" b="1" baseline="0">
              <a:solidFill>
                <a:schemeClr val="tx1"/>
              </a:solidFill>
              <a:effectLst/>
              <a:latin typeface="+mn-lt"/>
              <a:ea typeface="+mn-ea"/>
              <a:cs typeface="+mn-cs"/>
            </a:rPr>
            <a:t>52,8</a:t>
          </a:r>
          <a:r>
            <a:rPr lang="pt-BR" sz="1400" b="0" baseline="0">
              <a:solidFill>
                <a:schemeClr val="tx1"/>
              </a:solidFill>
              <a:effectLst/>
              <a:latin typeface="+mn-lt"/>
              <a:ea typeface="+mn-ea"/>
              <a:cs typeface="+mn-cs"/>
            </a:rPr>
            <a:t>% do retorno financeiro obtido ao longo de seis temporadas</a:t>
          </a:r>
          <a:r>
            <a:rPr lang="pt-BR" sz="1400" b="0">
              <a:solidFill>
                <a:schemeClr val="tx1"/>
              </a:solidFill>
              <a:effectLst/>
              <a:latin typeface="+mn-lt"/>
              <a:ea typeface="+mn-ea"/>
              <a:cs typeface="+mn-cs"/>
            </a:rPr>
            <a:t>. O</a:t>
          </a:r>
          <a:r>
            <a:rPr lang="pt-BR" sz="1400" b="0" baseline="0">
              <a:solidFill>
                <a:schemeClr val="tx1"/>
              </a:solidFill>
              <a:effectLst/>
              <a:latin typeface="+mn-lt"/>
              <a:ea typeface="+mn-ea"/>
              <a:cs typeface="+mn-cs"/>
            </a:rPr>
            <a:t> impacto da categoria torna-se ainda mais visível quando Steve Bergwijn,</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seu companheiro, entra na equação: a saída do holandês garantiu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para a equipe, superando</a:t>
          </a:r>
          <a:r>
            <a:rPr lang="pt-BR" sz="1400" b="0" baseline="0">
              <a:solidFill>
                <a:schemeClr val="tx1"/>
              </a:solidFill>
              <a:effectLst/>
              <a:latin typeface="+mn-lt"/>
              <a:ea typeface="+mn-ea"/>
              <a:cs typeface="+mn-cs"/>
            </a:rPr>
            <a:t> individualmente o preço de ambos os atletas responsáveis pela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administração do meio-campo, sendo eles Christian Eriksen e Pierre-Emile Højbjerg.</a:t>
          </a:r>
          <a:br>
            <a:rPr lang="pt-BR" sz="1400" b="0" baseline="0">
              <a:solidFill>
                <a:schemeClr val="tx1"/>
              </a:solidFill>
              <a:effectLst/>
              <a:latin typeface="+mn-lt"/>
              <a:ea typeface="+mn-ea"/>
              <a:cs typeface="+mn-cs"/>
            </a:rPr>
          </a:b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Em resumo, os </a:t>
          </a:r>
          <a:r>
            <a:rPr lang="pt-BR" sz="1400" b="1" baseline="0">
              <a:solidFill>
                <a:schemeClr val="tx1"/>
              </a:solidFill>
              <a:effectLst/>
              <a:latin typeface="+mn-lt"/>
              <a:ea typeface="+mn-ea"/>
              <a:cs typeface="+mn-cs"/>
            </a:rPr>
            <a:t>atacantes</a:t>
          </a:r>
          <a:r>
            <a:rPr lang="pt-BR" sz="1400" b="0" baseline="0">
              <a:solidFill>
                <a:schemeClr val="tx1"/>
              </a:solidFill>
              <a:effectLst/>
              <a:latin typeface="+mn-lt"/>
              <a:ea typeface="+mn-ea"/>
              <a:cs typeface="+mn-cs"/>
            </a:rPr>
            <a:t> geraram maior retorno financeiro ao Tottenham Hotspur. Baseando-se na base de dados atual, não é possível identificar a razão por trás da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valorização dos mesmos.</a:t>
          </a:r>
          <a:endParaRPr lang="pt-BR" sz="1400" b="0" i="0" baseline="0"/>
        </a:p>
      </xdr:txBody>
    </xdr:sp>
    <xdr:clientData/>
  </xdr:oneCellAnchor>
  <xdr:oneCellAnchor>
    <xdr:from>
      <xdr:col>64</xdr:col>
      <xdr:colOff>690801</xdr:colOff>
      <xdr:row>6</xdr:row>
      <xdr:rowOff>179894</xdr:rowOff>
    </xdr:from>
    <xdr:ext cx="1527021" cy="405432"/>
    <xdr:sp macro="" textlink="">
      <xdr:nvSpPr>
        <xdr:cNvPr id="37" name="CaixaDeTexto 36">
          <a:extLst>
            <a:ext uri="{FF2B5EF4-FFF2-40B4-BE49-F238E27FC236}">
              <a16:creationId xmlns:a16="http://schemas.microsoft.com/office/drawing/2014/main" id="{A05B3AC1-D0C5-4D40-9153-DA77CE942B48}"/>
            </a:ext>
          </a:extLst>
        </xdr:cNvPr>
        <xdr:cNvSpPr txBox="1"/>
      </xdr:nvSpPr>
      <xdr:spPr>
        <a:xfrm>
          <a:off x="71167142" y="1322894"/>
          <a:ext cx="1527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6. Conclusão</a:t>
          </a:r>
        </a:p>
      </xdr:txBody>
    </xdr:sp>
    <xdr:clientData/>
  </xdr:oneCellAnchor>
  <xdr:oneCellAnchor>
    <xdr:from>
      <xdr:col>61</xdr:col>
      <xdr:colOff>1302238</xdr:colOff>
      <xdr:row>8</xdr:row>
      <xdr:rowOff>127911</xdr:rowOff>
    </xdr:from>
    <xdr:ext cx="8815876" cy="530658"/>
    <xdr:sp macro="" textlink="">
      <xdr:nvSpPr>
        <xdr:cNvPr id="38" name="CaixaDeTexto 37">
          <a:extLst>
            <a:ext uri="{FF2B5EF4-FFF2-40B4-BE49-F238E27FC236}">
              <a16:creationId xmlns:a16="http://schemas.microsoft.com/office/drawing/2014/main" id="{679200D7-A3DE-4C25-99CE-17C6913BB572}"/>
            </a:ext>
          </a:extLst>
        </xdr:cNvPr>
        <xdr:cNvSpPr txBox="1"/>
      </xdr:nvSpPr>
      <xdr:spPr>
        <a:xfrm>
          <a:off x="67466352" y="1651911"/>
          <a:ext cx="8815876"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características</a:t>
          </a:r>
          <a:r>
            <a:rPr lang="pt-BR" sz="1400" b="0" i="1" baseline="0"/>
            <a:t> definiram a estratégia do Tottenham Hotspur no mercado de transferências</a:t>
          </a:r>
          <a:br>
            <a:rPr lang="pt-BR" sz="1400" b="0" i="1" baseline="0"/>
          </a:br>
          <a:r>
            <a:rPr lang="pt-BR" sz="1400" b="0" i="1" baseline="0"/>
            <a:t>entre as temporadas 2019/20 até 2024/25?</a:t>
          </a:r>
          <a:endParaRPr lang="pt-BR" sz="1400" b="0" i="1"/>
        </a:p>
      </xdr:txBody>
    </xdr:sp>
    <xdr:clientData/>
  </xdr:oneCellAnchor>
  <xdr:oneCellAnchor>
    <xdr:from>
      <xdr:col>61</xdr:col>
      <xdr:colOff>1313446</xdr:colOff>
      <xdr:row>12</xdr:row>
      <xdr:rowOff>125801</xdr:rowOff>
    </xdr:from>
    <xdr:ext cx="1013483" cy="311496"/>
    <xdr:sp macro="" textlink="">
      <xdr:nvSpPr>
        <xdr:cNvPr id="39" name="CaixaDeTexto 38">
          <a:extLst>
            <a:ext uri="{FF2B5EF4-FFF2-40B4-BE49-F238E27FC236}">
              <a16:creationId xmlns:a16="http://schemas.microsoft.com/office/drawing/2014/main" id="{55A26890-609E-40CD-8A3E-802A9AC8F926}"/>
            </a:ext>
          </a:extLst>
        </xdr:cNvPr>
        <xdr:cNvSpPr txBox="1"/>
      </xdr:nvSpPr>
      <xdr:spPr>
        <a:xfrm>
          <a:off x="67620026" y="2390235"/>
          <a:ext cx="101348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Evidências:</a:t>
          </a:r>
          <a:endParaRPr lang="pt-BR" sz="1400" b="0" i="1"/>
        </a:p>
      </xdr:txBody>
    </xdr:sp>
    <xdr:clientData/>
  </xdr:oneCellAnchor>
  <xdr:oneCellAnchor>
    <xdr:from>
      <xdr:col>61</xdr:col>
      <xdr:colOff>1318427</xdr:colOff>
      <xdr:row>14</xdr:row>
      <xdr:rowOff>152758</xdr:rowOff>
    </xdr:from>
    <xdr:ext cx="323615" cy="311496"/>
    <xdr:sp macro="" textlink="">
      <xdr:nvSpPr>
        <xdr:cNvPr id="40" name="CaixaDeTexto 39">
          <a:extLst>
            <a:ext uri="{FF2B5EF4-FFF2-40B4-BE49-F238E27FC236}">
              <a16:creationId xmlns:a16="http://schemas.microsoft.com/office/drawing/2014/main" id="{D99A57C2-1A06-425C-99E3-E928AC0EEC47}"/>
            </a:ext>
          </a:extLst>
        </xdr:cNvPr>
        <xdr:cNvSpPr txBox="1"/>
      </xdr:nvSpPr>
      <xdr:spPr>
        <a:xfrm>
          <a:off x="67625007" y="2794598"/>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1.</a:t>
          </a:r>
        </a:p>
      </xdr:txBody>
    </xdr:sp>
    <xdr:clientData/>
  </xdr:oneCellAnchor>
  <xdr:oneCellAnchor>
    <xdr:from>
      <xdr:col>61</xdr:col>
      <xdr:colOff>1305030</xdr:colOff>
      <xdr:row>18</xdr:row>
      <xdr:rowOff>127598</xdr:rowOff>
    </xdr:from>
    <xdr:ext cx="323615" cy="311496"/>
    <xdr:sp macro="" textlink="">
      <xdr:nvSpPr>
        <xdr:cNvPr id="41" name="CaixaDeTexto 40">
          <a:extLst>
            <a:ext uri="{FF2B5EF4-FFF2-40B4-BE49-F238E27FC236}">
              <a16:creationId xmlns:a16="http://schemas.microsoft.com/office/drawing/2014/main" id="{8A89519C-77FC-4092-8894-B0F46E9A76A6}"/>
            </a:ext>
          </a:extLst>
        </xdr:cNvPr>
        <xdr:cNvSpPr txBox="1"/>
      </xdr:nvSpPr>
      <xdr:spPr>
        <a:xfrm>
          <a:off x="67460485" y="3565257"/>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2.</a:t>
          </a:r>
        </a:p>
      </xdr:txBody>
    </xdr:sp>
    <xdr:clientData/>
  </xdr:oneCellAnchor>
  <xdr:oneCellAnchor>
    <xdr:from>
      <xdr:col>61</xdr:col>
      <xdr:colOff>1305030</xdr:colOff>
      <xdr:row>22</xdr:row>
      <xdr:rowOff>127598</xdr:rowOff>
    </xdr:from>
    <xdr:ext cx="323615" cy="311496"/>
    <xdr:sp macro="" textlink="">
      <xdr:nvSpPr>
        <xdr:cNvPr id="42" name="CaixaDeTexto 41">
          <a:extLst>
            <a:ext uri="{FF2B5EF4-FFF2-40B4-BE49-F238E27FC236}">
              <a16:creationId xmlns:a16="http://schemas.microsoft.com/office/drawing/2014/main" id="{453269F0-11F9-4971-A436-A9BEDAACC788}"/>
            </a:ext>
          </a:extLst>
        </xdr:cNvPr>
        <xdr:cNvSpPr txBox="1"/>
      </xdr:nvSpPr>
      <xdr:spPr>
        <a:xfrm>
          <a:off x="67469144" y="4335916"/>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3.</a:t>
          </a:r>
        </a:p>
      </xdr:txBody>
    </xdr:sp>
    <xdr:clientData/>
  </xdr:oneCellAnchor>
  <xdr:oneCellAnchor>
    <xdr:from>
      <xdr:col>61</xdr:col>
      <xdr:colOff>1327544</xdr:colOff>
      <xdr:row>26</xdr:row>
      <xdr:rowOff>124134</xdr:rowOff>
    </xdr:from>
    <xdr:ext cx="323615" cy="311496"/>
    <xdr:sp macro="" textlink="">
      <xdr:nvSpPr>
        <xdr:cNvPr id="43" name="CaixaDeTexto 42">
          <a:extLst>
            <a:ext uri="{FF2B5EF4-FFF2-40B4-BE49-F238E27FC236}">
              <a16:creationId xmlns:a16="http://schemas.microsoft.com/office/drawing/2014/main" id="{AE75D060-754E-4F9C-8871-D7844C116DDC}"/>
            </a:ext>
          </a:extLst>
        </xdr:cNvPr>
        <xdr:cNvSpPr txBox="1"/>
      </xdr:nvSpPr>
      <xdr:spPr>
        <a:xfrm>
          <a:off x="67491658" y="5103111"/>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4.</a:t>
          </a:r>
        </a:p>
      </xdr:txBody>
    </xdr:sp>
    <xdr:clientData/>
  </xdr:oneCellAnchor>
  <xdr:oneCellAnchor>
    <xdr:from>
      <xdr:col>61</xdr:col>
      <xdr:colOff>1315421</xdr:colOff>
      <xdr:row>30</xdr:row>
      <xdr:rowOff>146649</xdr:rowOff>
    </xdr:from>
    <xdr:ext cx="323615" cy="311496"/>
    <xdr:sp macro="" textlink="">
      <xdr:nvSpPr>
        <xdr:cNvPr id="44" name="CaixaDeTexto 43">
          <a:extLst>
            <a:ext uri="{FF2B5EF4-FFF2-40B4-BE49-F238E27FC236}">
              <a16:creationId xmlns:a16="http://schemas.microsoft.com/office/drawing/2014/main" id="{9B0C7E65-58CB-46DB-8C54-63E085A68A71}"/>
            </a:ext>
          </a:extLst>
        </xdr:cNvPr>
        <xdr:cNvSpPr txBox="1"/>
      </xdr:nvSpPr>
      <xdr:spPr>
        <a:xfrm>
          <a:off x="67479535" y="5896285"/>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5.</a:t>
          </a:r>
        </a:p>
      </xdr:txBody>
    </xdr:sp>
    <xdr:clientData/>
  </xdr:oneCellAnchor>
  <xdr:oneCellAnchor>
    <xdr:from>
      <xdr:col>61</xdr:col>
      <xdr:colOff>1305995</xdr:colOff>
      <xdr:row>34</xdr:row>
      <xdr:rowOff>146568</xdr:rowOff>
    </xdr:from>
    <xdr:ext cx="884216" cy="311496"/>
    <xdr:sp macro="" textlink="">
      <xdr:nvSpPr>
        <xdr:cNvPr id="45" name="CaixaDeTexto 44">
          <a:extLst>
            <a:ext uri="{FF2B5EF4-FFF2-40B4-BE49-F238E27FC236}">
              <a16:creationId xmlns:a16="http://schemas.microsoft.com/office/drawing/2014/main" id="{268DAF49-0C02-48AB-B8BB-D0B8A7C661EF}"/>
            </a:ext>
          </a:extLst>
        </xdr:cNvPr>
        <xdr:cNvSpPr txBox="1"/>
      </xdr:nvSpPr>
      <xdr:spPr>
        <a:xfrm>
          <a:off x="67726995" y="6676485"/>
          <a:ext cx="884216"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Veredito:</a:t>
          </a:r>
          <a:endParaRPr lang="pt-BR" sz="1400" b="0" i="1"/>
        </a:p>
      </xdr:txBody>
    </xdr:sp>
    <xdr:clientData/>
  </xdr:oneCellAnchor>
  <xdr:oneCellAnchor>
    <xdr:from>
      <xdr:col>61</xdr:col>
      <xdr:colOff>1218038</xdr:colOff>
      <xdr:row>36</xdr:row>
      <xdr:rowOff>135466</xdr:rowOff>
    </xdr:from>
    <xdr:ext cx="12625956" cy="2941446"/>
    <xdr:sp macro="" textlink="">
      <xdr:nvSpPr>
        <xdr:cNvPr id="46" name="CaixaDeTexto 45">
          <a:extLst>
            <a:ext uri="{FF2B5EF4-FFF2-40B4-BE49-F238E27FC236}">
              <a16:creationId xmlns:a16="http://schemas.microsoft.com/office/drawing/2014/main" id="{05105D5E-6C37-40B9-AE87-DE1276453FB9}"/>
            </a:ext>
          </a:extLst>
        </xdr:cNvPr>
        <xdr:cNvSpPr txBox="1"/>
      </xdr:nvSpPr>
      <xdr:spPr>
        <a:xfrm>
          <a:off x="67492988" y="7041091"/>
          <a:ext cx="12625956" cy="2941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financeira das movimentações no mercado de transferências de atletas realizadas pelo Tottenham Hotspur entre as temporadas 2019/20 e 2024/25 sugere que</a:t>
          </a:r>
          <a:br>
            <a:rPr lang="pt-BR" sz="1400" b="0" i="0" baseline="0"/>
          </a:br>
          <a:r>
            <a:rPr lang="pt-BR" sz="1400" b="0" i="0" baseline="0"/>
            <a:t>o clube tenha adotado uma postura </a:t>
          </a:r>
          <a:r>
            <a:rPr lang="pt-BR" sz="1400" b="1" i="0" baseline="0"/>
            <a:t>incisiva</a:t>
          </a:r>
          <a:r>
            <a:rPr lang="pt-BR" sz="1400" b="0" i="0" baseline="0"/>
            <a:t> no que diz respeito à contratações — uma vez que </a:t>
          </a:r>
          <a:r>
            <a:rPr lang="pt-BR" sz="1400" b="1" i="0" baseline="0"/>
            <a:t>£553.2 milhões </a:t>
          </a:r>
          <a:r>
            <a:rPr lang="pt-BR" sz="1400" b="0" i="0" baseline="0"/>
            <a:t>foram investidos em jogadores durante o período. Esse</a:t>
          </a:r>
          <a:br>
            <a:rPr lang="pt-BR" sz="1400" b="0" i="0" baseline="0"/>
          </a:br>
          <a:r>
            <a:rPr lang="pt-BR" sz="1400" b="0" i="0" baseline="0"/>
            <a:t> valor contrasta-se significativamente com os </a:t>
          </a:r>
          <a:r>
            <a:rPr lang="pt-BR" sz="1400" b="1" i="0" baseline="0"/>
            <a:t>£179.8 milhões </a:t>
          </a:r>
          <a:r>
            <a:rPr lang="pt-BR" sz="1400" b="0" i="0" baseline="0"/>
            <a:t>provenientes das saídas de atletas, onde 52,8% deste montante representava apenas um atleta: Harry Kane.</a:t>
          </a:r>
          <a:br>
            <a:rPr lang="pt-BR" sz="1400" b="0" i="0" baseline="0"/>
          </a:b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 e que representa </a:t>
          </a:r>
          <a:r>
            <a:rPr lang="pt-BR" sz="1400" b="1" baseline="0">
              <a:solidFill>
                <a:schemeClr val="tx1"/>
              </a:solidFill>
              <a:effectLst/>
              <a:latin typeface="+mn-lt"/>
              <a:ea typeface="+mn-ea"/>
              <a:cs typeface="+mn-cs"/>
            </a:rPr>
            <a:t>52,8</a:t>
          </a:r>
          <a:r>
            <a:rPr lang="pt-BR" sz="1400" b="0" baseline="0">
              <a:solidFill>
                <a:schemeClr val="tx1"/>
              </a:solidFill>
              <a:effectLst/>
              <a:latin typeface="+mn-lt"/>
              <a:ea typeface="+mn-ea"/>
              <a:cs typeface="+mn-cs"/>
            </a:rPr>
            <a:t>% do retorno financeiro obtido ao longo de seis temporadas</a:t>
          </a:r>
          <a:r>
            <a:rPr lang="pt-BR" sz="1400" b="0">
              <a:solidFill>
                <a:schemeClr val="tx1"/>
              </a:solidFill>
              <a:effectLst/>
              <a:latin typeface="+mn-lt"/>
              <a:ea typeface="+mn-ea"/>
              <a:cs typeface="+mn-cs"/>
            </a:rPr>
            <a:t>. O</a:t>
          </a:r>
          <a:r>
            <a:rPr lang="pt-BR" sz="1400" b="0" baseline="0">
              <a:solidFill>
                <a:schemeClr val="tx1"/>
              </a:solidFill>
              <a:effectLst/>
              <a:latin typeface="+mn-lt"/>
              <a:ea typeface="+mn-ea"/>
              <a:cs typeface="+mn-cs"/>
            </a:rPr>
            <a:t> impacto da categoria torna-se ainda mais visível quando Steve Bergwijn,</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seu companheiro, entra na equação: a saída do holandês garantiu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para a equipe, superando</a:t>
          </a:r>
          <a:r>
            <a:rPr lang="pt-BR" sz="1400" b="0" baseline="0">
              <a:solidFill>
                <a:schemeClr val="tx1"/>
              </a:solidFill>
              <a:effectLst/>
              <a:latin typeface="+mn-lt"/>
              <a:ea typeface="+mn-ea"/>
              <a:cs typeface="+mn-cs"/>
            </a:rPr>
            <a:t> individualmente o preço de ambos os atletas responsáveis pela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administração do meio-campo, sendo eles Christian Eriksen e Pierre-Emile Højbjerg.</a:t>
          </a:r>
          <a:br>
            <a:rPr lang="pt-BR" sz="1400" b="0" baseline="0">
              <a:solidFill>
                <a:schemeClr val="tx1"/>
              </a:solidFill>
              <a:effectLst/>
              <a:latin typeface="+mn-lt"/>
              <a:ea typeface="+mn-ea"/>
              <a:cs typeface="+mn-cs"/>
            </a:rPr>
          </a:b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Em resumo, os </a:t>
          </a:r>
          <a:r>
            <a:rPr lang="pt-BR" sz="1400" b="1" baseline="0">
              <a:solidFill>
                <a:schemeClr val="tx1"/>
              </a:solidFill>
              <a:effectLst/>
              <a:latin typeface="+mn-lt"/>
              <a:ea typeface="+mn-ea"/>
              <a:cs typeface="+mn-cs"/>
            </a:rPr>
            <a:t>atacantes</a:t>
          </a:r>
          <a:r>
            <a:rPr lang="pt-BR" sz="1400" b="0" baseline="0">
              <a:solidFill>
                <a:schemeClr val="tx1"/>
              </a:solidFill>
              <a:effectLst/>
              <a:latin typeface="+mn-lt"/>
              <a:ea typeface="+mn-ea"/>
              <a:cs typeface="+mn-cs"/>
            </a:rPr>
            <a:t> geraram maior retorno financeiro ao Tottenham Hotspur. Baseando-se na base de dados atual, não é possível identificar a razão por trás da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valorização dos mesmos.</a:t>
          </a:r>
          <a:endParaRPr lang="pt-BR" sz="1400" b="0" i="0" baseline="0"/>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403693"/>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403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5ª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quinta análise foi construída de uma forma semelhante à terceira e diferente da segunda que, em teoria, seria sua contraparte. A pergunta de negócio relacionada a ela consistia em: </a:t>
          </a:r>
          <a:r>
            <a:rPr lang="pt-BR" sz="1200" b="0" i="1" baseline="0">
              <a:solidFill>
                <a:schemeClr val="tx1"/>
              </a:solidFill>
              <a:effectLst/>
              <a:latin typeface="+mn-lt"/>
              <a:ea typeface="+mn-ea"/>
              <a:cs typeface="+mn-cs"/>
            </a:rPr>
            <a:t>"Quais posições geraram maior retorno financeiro ao clube?"</a:t>
          </a:r>
          <a:r>
            <a:rPr lang="pt-BR" sz="1200" b="0" i="0" baseline="0">
              <a:solidFill>
                <a:schemeClr val="tx1"/>
              </a:solidFill>
              <a:effectLst/>
              <a:latin typeface="+mn-lt"/>
              <a:ea typeface="+mn-ea"/>
              <a:cs typeface="+mn-cs"/>
            </a:rPr>
            <a:t>. Pensando nisso, realizei uma tabela dinâmica com a variável </a:t>
          </a:r>
          <a:r>
            <a:rPr lang="pt-BR" sz="1200" b="1" i="0" baseline="0">
              <a:solidFill>
                <a:schemeClr val="tx1"/>
              </a:solidFill>
              <a:effectLst/>
              <a:latin typeface="+mn-lt"/>
              <a:ea typeface="+mn-ea"/>
              <a:cs typeface="+mn-cs"/>
            </a:rPr>
            <a:t>posição</a:t>
          </a:r>
          <a:r>
            <a:rPr lang="pt-BR" sz="1200" b="0" i="0" baseline="0">
              <a:solidFill>
                <a:schemeClr val="tx1"/>
              </a:solidFill>
              <a:effectLst/>
              <a:latin typeface="+mn-lt"/>
              <a:ea typeface="+mn-ea"/>
              <a:cs typeface="+mn-cs"/>
            </a:rPr>
            <a:t> enquanto a filtrava pelo valor </a:t>
          </a:r>
          <a:r>
            <a:rPr lang="pt-BR" sz="1200" b="1" i="0" baseline="0">
              <a:solidFill>
                <a:schemeClr val="tx1"/>
              </a:solidFill>
              <a:effectLst/>
              <a:latin typeface="+mn-lt"/>
              <a:ea typeface="+mn-ea"/>
              <a:cs typeface="+mn-cs"/>
            </a:rPr>
            <a:t>Saída</a:t>
          </a:r>
          <a:r>
            <a:rPr lang="pt-BR" sz="1200" b="0" i="0" baseline="0">
              <a:solidFill>
                <a:schemeClr val="tx1"/>
              </a:solidFill>
              <a:effectLst/>
              <a:latin typeface="+mn-lt"/>
              <a:ea typeface="+mn-ea"/>
              <a:cs typeface="+mn-cs"/>
            </a:rPr>
            <a:t> da coluna </a:t>
          </a:r>
          <a:r>
            <a:rPr lang="pt-BR" sz="1200" b="1" i="0" baseline="0">
              <a:solidFill>
                <a:schemeClr val="tx1"/>
              </a:solidFill>
              <a:effectLst/>
              <a:latin typeface="+mn-lt"/>
              <a:ea typeface="+mn-ea"/>
              <a:cs typeface="+mn-cs"/>
            </a:rPr>
            <a:t>tipo_movimentação</a:t>
          </a:r>
          <a:r>
            <a:rPr lang="pt-BR" sz="1200" b="0" i="0" baseline="0">
              <a:solidFill>
                <a:schemeClr val="tx1"/>
              </a:solidFill>
              <a:effectLst/>
              <a:latin typeface="+mn-lt"/>
              <a:ea typeface="+mn-ea"/>
              <a:cs typeface="+mn-cs"/>
            </a:rPr>
            <a:t>. Ao invés de apenas incluir essas duas variáveis, decidi adicionar a coluna </a:t>
          </a:r>
          <a:r>
            <a:rPr lang="pt-BR" sz="1200" b="1" i="0" baseline="0">
              <a:solidFill>
                <a:schemeClr val="tx1"/>
              </a:solidFill>
              <a:effectLst/>
              <a:latin typeface="+mn-lt"/>
              <a:ea typeface="+mn-ea"/>
              <a:cs typeface="+mn-cs"/>
            </a:rPr>
            <a:t>jogador</a:t>
          </a:r>
          <a:r>
            <a:rPr lang="pt-BR" sz="1200" b="0" i="0" baseline="0">
              <a:solidFill>
                <a:schemeClr val="tx1"/>
              </a:solidFill>
              <a:effectLst/>
              <a:latin typeface="+mn-lt"/>
              <a:ea typeface="+mn-ea"/>
              <a:cs typeface="+mn-cs"/>
            </a:rPr>
            <a:t> na tabela para que a análise se tornasse algo mais rico. Além de evidenciar quais posições, de fato, geraram maior retorno financeiro ao Tottenham Hotspur, também foram incluídos quais jogadores contribuiram para este processo.</a:t>
          </a:r>
        </a:p>
        <a:p>
          <a:pPr algn="l"/>
          <a:endParaRPr lang="pt-BR" sz="1200" b="0" i="0" baseline="0">
            <a:solidFill>
              <a:schemeClr val="tx1"/>
            </a:solidFill>
            <a:effectLst/>
            <a:latin typeface="+mn-lt"/>
            <a:ea typeface="+mn-ea"/>
            <a:cs typeface="+mn-cs"/>
          </a:endParaRPr>
        </a:p>
        <a:p>
          <a:pPr algn="l"/>
          <a:r>
            <a:rPr lang="pt-BR" sz="1200" b="0" i="0" baseline="0">
              <a:solidFill>
                <a:schemeClr val="tx1"/>
              </a:solidFill>
              <a:effectLst/>
              <a:latin typeface="+mn-lt"/>
              <a:ea typeface="+mn-ea"/>
              <a:cs typeface="+mn-cs"/>
            </a:rPr>
            <a:t>Essa decisão foi algo que enriqueceu o conteúdo da análise, visto que, em decorrência dela, percebemos que mais da metade desse retorno financeiro concentrou-se em apenas um jogador — no caso, </a:t>
          </a:r>
          <a:r>
            <a:rPr lang="pt-BR" sz="1200" b="1" i="0" baseline="0">
              <a:solidFill>
                <a:schemeClr val="tx1"/>
              </a:solidFill>
              <a:effectLst/>
              <a:latin typeface="+mn-lt"/>
              <a:ea typeface="+mn-ea"/>
              <a:cs typeface="+mn-cs"/>
            </a:rPr>
            <a:t>Harry Kane</a:t>
          </a:r>
          <a:r>
            <a:rPr lang="pt-BR" sz="1200" b="0" i="0" baseline="0">
              <a:solidFill>
                <a:schemeClr val="tx1"/>
              </a:solidFill>
              <a:effectLst/>
              <a:latin typeface="+mn-lt"/>
              <a:ea typeface="+mn-ea"/>
              <a:cs typeface="+mn-cs"/>
            </a:rPr>
            <a:t>.</a:t>
          </a:r>
          <a:endParaRPr lang="pt-BR" sz="1200" b="1" baseline="0">
            <a:solidFill>
              <a:schemeClr val="tx1"/>
            </a:solidFill>
            <a:effectLst/>
            <a:latin typeface="+mn-lt"/>
            <a:ea typeface="+mn-ea"/>
            <a:cs typeface="+mn-cs"/>
          </a:endParaRPr>
        </a:p>
        <a:p>
          <a:pPr algn="l"/>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0</xdr:col>
      <xdr:colOff>276225</xdr:colOff>
      <xdr:row>82</xdr:row>
      <xdr:rowOff>76200</xdr:rowOff>
    </xdr:from>
    <xdr:ext cx="1089722"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276225" y="1569720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17">
      <pivotArea collapsedLevelsAreSubtotals="1" fieldPosition="0">
        <references count="1">
          <reference field="3" count="1">
            <x v="0"/>
          </reference>
        </references>
      </pivotArea>
    </format>
    <format dxfId="16">
      <pivotArea collapsedLevelsAreSubtotals="1" fieldPosition="0">
        <references count="2">
          <reference field="2" count="2">
            <x v="6"/>
            <x v="16"/>
          </reference>
          <reference field="3" count="1" selected="0">
            <x v="0"/>
          </reference>
        </references>
      </pivotArea>
    </format>
    <format dxfId="15">
      <pivotArea collapsedLevelsAreSubtotals="1" fieldPosition="0">
        <references count="1">
          <reference field="3" count="1">
            <x v="1"/>
          </reference>
        </references>
      </pivotArea>
    </format>
    <format dxfId="14">
      <pivotArea collapsedLevelsAreSubtotals="1" fieldPosition="0">
        <references count="2">
          <reference field="2" count="2">
            <x v="9"/>
            <x v="18"/>
          </reference>
          <reference field="3" count="1" selected="0">
            <x v="1"/>
          </reference>
        </references>
      </pivotArea>
    </format>
    <format dxfId="13">
      <pivotArea collapsedLevelsAreSubtotals="1" fieldPosition="0">
        <references count="1">
          <reference field="3" count="1">
            <x v="2"/>
          </reference>
        </references>
      </pivotArea>
    </format>
    <format dxfId="12">
      <pivotArea collapsedLevelsAreSubtotals="1" fieldPosition="0">
        <references count="2">
          <reference field="2" count="2">
            <x v="2"/>
            <x v="12"/>
          </reference>
          <reference field="3" count="1" selected="0">
            <x v="2"/>
          </reference>
        </references>
      </pivotArea>
    </format>
    <format dxfId="11">
      <pivotArea type="origin" dataOnly="0" labelOnly="1" outline="0" fieldPosition="0"/>
    </format>
    <format dxfId="10">
      <pivotArea field="1" type="button" dataOnly="0" labelOnly="1" outline="0" axis="axisCol" fieldPosition="0"/>
    </format>
    <format dxfId="9">
      <pivotArea field="-2" type="button" dataOnly="0" labelOnly="1" outline="0" axis="axisCol" fieldPosition="1"/>
    </format>
    <format dxfId="8">
      <pivotArea field="3" type="button" dataOnly="0" labelOnly="1" outline="0" axis="axisRow" fieldPosition="0"/>
    </format>
    <format dxfId="7">
      <pivotArea dataOnly="0" labelOnly="1" fieldPosition="0">
        <references count="1">
          <reference field="3" count="0"/>
        </references>
      </pivotArea>
    </format>
    <format dxfId="6">
      <pivotArea dataOnly="0" labelOnly="1" fieldPosition="0">
        <references count="2">
          <reference field="2" count="2">
            <x v="6"/>
            <x v="16"/>
          </reference>
          <reference field="3" count="1" selected="0">
            <x v="0"/>
          </reference>
        </references>
      </pivotArea>
    </format>
    <format dxfId="5">
      <pivotArea dataOnly="0" labelOnly="1" fieldPosition="0">
        <references count="2">
          <reference field="2" count="2">
            <x v="9"/>
            <x v="18"/>
          </reference>
          <reference field="3" count="1" selected="0">
            <x v="1"/>
          </reference>
        </references>
      </pivotArea>
    </format>
    <format dxfId="4">
      <pivotArea dataOnly="0" labelOnly="1" fieldPosition="0">
        <references count="2">
          <reference field="2" count="2">
            <x v="2"/>
            <x v="12"/>
          </reference>
          <reference field="3" count="1" selected="0">
            <x v="2"/>
          </reference>
        </references>
      </pivotArea>
    </format>
    <format dxfId="3">
      <pivotArea dataOnly="0" labelOnly="1" fieldPosition="0">
        <references count="1">
          <reference field="1" count="0"/>
        </references>
      </pivotArea>
    </format>
    <format dxfId="2">
      <pivotArea dataOnly="0" labelOnly="1" outline="0" fieldPosition="0">
        <references count="2">
          <reference field="4294967294" count="2">
            <x v="0"/>
            <x v="1"/>
          </reference>
          <reference field="1" count="0" selected="0"/>
        </references>
      </pivotArea>
    </format>
    <format dxfId="1">
      <pivotArea grandRow="1" outline="0" collapsedLevelsAreSubtotals="1" fieldPosition="0"/>
    </format>
    <format dxfId="0">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63">
      <pivotArea type="all" dataOnly="0" outline="0" fieldPosition="0"/>
    </format>
    <format dxfId="62">
      <pivotArea outline="0" collapsedLevelsAreSubtotals="1" fieldPosition="0"/>
    </format>
    <format dxfId="61">
      <pivotArea type="origin" dataOnly="0" labelOnly="1" outline="0" fieldPosition="0"/>
    </format>
    <format dxfId="60">
      <pivotArea field="0" type="button" dataOnly="0" labelOnly="1" outline="0" axis="axisCol" fieldPosition="0"/>
    </format>
    <format dxfId="59">
      <pivotArea field="4" type="button" dataOnly="0" labelOnly="1" outline="0" axis="axisRow" fieldPosition="0"/>
    </format>
    <format dxfId="58">
      <pivotArea dataOnly="0" labelOnly="1" fieldPosition="0">
        <references count="1">
          <reference field="4" count="15">
            <x v="2"/>
            <x v="5"/>
            <x v="6"/>
            <x v="7"/>
            <x v="8"/>
            <x v="9"/>
            <x v="10"/>
            <x v="11"/>
            <x v="12"/>
            <x v="13"/>
            <x v="15"/>
            <x v="16"/>
            <x v="17"/>
            <x v="18"/>
            <x v="19"/>
          </reference>
        </references>
      </pivotArea>
    </format>
    <format dxfId="57">
      <pivotArea dataOnly="0" labelOnly="1" grandRow="1" outline="0" fieldPosition="0"/>
    </format>
    <format dxfId="56">
      <pivotArea dataOnly="0" labelOnly="1" fieldPosition="0">
        <references count="2">
          <reference field="3" count="1">
            <x v="0"/>
          </reference>
          <reference field="4" count="1" selected="0">
            <x v="2"/>
          </reference>
        </references>
      </pivotArea>
    </format>
    <format dxfId="55">
      <pivotArea dataOnly="0" labelOnly="1" fieldPosition="0">
        <references count="2">
          <reference field="3" count="1">
            <x v="8"/>
          </reference>
          <reference field="4" count="1" selected="0">
            <x v="5"/>
          </reference>
        </references>
      </pivotArea>
    </format>
    <format dxfId="54">
      <pivotArea dataOnly="0" labelOnly="1" fieldPosition="0">
        <references count="2">
          <reference field="3" count="1">
            <x v="10"/>
          </reference>
          <reference field="4" count="1" selected="0">
            <x v="6"/>
          </reference>
        </references>
      </pivotArea>
    </format>
    <format dxfId="53">
      <pivotArea dataOnly="0" labelOnly="1" fieldPosition="0">
        <references count="2">
          <reference field="3" count="1">
            <x v="2"/>
          </reference>
          <reference field="4" count="1" selected="0">
            <x v="7"/>
          </reference>
        </references>
      </pivotArea>
    </format>
    <format dxfId="52">
      <pivotArea dataOnly="0" labelOnly="1" fieldPosition="0">
        <references count="2">
          <reference field="3" count="1">
            <x v="3"/>
          </reference>
          <reference field="4" count="1" selected="0">
            <x v="8"/>
          </reference>
        </references>
      </pivotArea>
    </format>
    <format dxfId="51">
      <pivotArea dataOnly="0" labelOnly="1" fieldPosition="0">
        <references count="2">
          <reference field="3" count="2">
            <x v="12"/>
            <x v="13"/>
          </reference>
          <reference field="4" count="1" selected="0">
            <x v="9"/>
          </reference>
        </references>
      </pivotArea>
    </format>
    <format dxfId="50">
      <pivotArea dataOnly="0" labelOnly="1" fieldPosition="0">
        <references count="2">
          <reference field="3" count="1">
            <x v="8"/>
          </reference>
          <reference field="4" count="1" selected="0">
            <x v="10"/>
          </reference>
        </references>
      </pivotArea>
    </format>
    <format dxfId="49">
      <pivotArea dataOnly="0" labelOnly="1" fieldPosition="0">
        <references count="2">
          <reference field="3" count="1">
            <x v="8"/>
          </reference>
          <reference field="4" count="1" selected="0">
            <x v="11"/>
          </reference>
        </references>
      </pivotArea>
    </format>
    <format dxfId="48">
      <pivotArea dataOnly="0" labelOnly="1" fieldPosition="0">
        <references count="2">
          <reference field="3" count="1">
            <x v="6"/>
          </reference>
          <reference field="4" count="1" selected="0">
            <x v="12"/>
          </reference>
        </references>
      </pivotArea>
    </format>
    <format dxfId="47">
      <pivotArea dataOnly="0" labelOnly="1" fieldPosition="0">
        <references count="2">
          <reference field="3" count="1">
            <x v="11"/>
          </reference>
          <reference field="4" count="1" selected="0">
            <x v="13"/>
          </reference>
        </references>
      </pivotArea>
    </format>
    <format dxfId="46">
      <pivotArea dataOnly="0" labelOnly="1" fieldPosition="0">
        <references count="2">
          <reference field="3" count="1">
            <x v="7"/>
          </reference>
          <reference field="4" count="1" selected="0">
            <x v="15"/>
          </reference>
        </references>
      </pivotArea>
    </format>
    <format dxfId="45">
      <pivotArea dataOnly="0" labelOnly="1" fieldPosition="0">
        <references count="2">
          <reference field="3" count="1">
            <x v="5"/>
          </reference>
          <reference field="4" count="1" selected="0">
            <x v="16"/>
          </reference>
        </references>
      </pivotArea>
    </format>
    <format dxfId="44">
      <pivotArea dataOnly="0" labelOnly="1" fieldPosition="0">
        <references count="2">
          <reference field="3" count="1">
            <x v="4"/>
          </reference>
          <reference field="4" count="1" selected="0">
            <x v="17"/>
          </reference>
        </references>
      </pivotArea>
    </format>
    <format dxfId="43">
      <pivotArea dataOnly="0" labelOnly="1" fieldPosition="0">
        <references count="2">
          <reference field="3" count="1">
            <x v="7"/>
          </reference>
          <reference field="4" count="1" selected="0">
            <x v="18"/>
          </reference>
        </references>
      </pivotArea>
    </format>
    <format dxfId="42">
      <pivotArea dataOnly="0" labelOnly="1" fieldPosition="0">
        <references count="2">
          <reference field="3" count="1">
            <x v="9"/>
          </reference>
          <reference field="4" count="1" selected="0">
            <x v="19"/>
          </reference>
        </references>
      </pivotArea>
    </format>
    <format dxfId="41">
      <pivotArea dataOnly="0" labelOnly="1" fieldPosition="0">
        <references count="1">
          <reference field="0" count="0"/>
        </references>
      </pivotArea>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0" type="button" dataOnly="0" labelOnly="1" outline="0" axis="axisCol" fieldPosition="0"/>
    </format>
    <format dxfId="36">
      <pivotArea field="4" type="button" dataOnly="0" labelOnly="1" outline="0" axis="axisRow" fieldPosition="0"/>
    </format>
    <format dxfId="35">
      <pivotArea dataOnly="0" labelOnly="1" fieldPosition="0">
        <references count="1">
          <reference field="4" count="15">
            <x v="2"/>
            <x v="5"/>
            <x v="6"/>
            <x v="7"/>
            <x v="8"/>
            <x v="9"/>
            <x v="10"/>
            <x v="11"/>
            <x v="12"/>
            <x v="13"/>
            <x v="15"/>
            <x v="16"/>
            <x v="17"/>
            <x v="18"/>
            <x v="19"/>
          </reference>
        </references>
      </pivotArea>
    </format>
    <format dxfId="34">
      <pivotArea dataOnly="0" labelOnly="1" grandRow="1" outline="0" fieldPosition="0"/>
    </format>
    <format dxfId="33">
      <pivotArea dataOnly="0" labelOnly="1" fieldPosition="0">
        <references count="2">
          <reference field="3" count="1">
            <x v="0"/>
          </reference>
          <reference field="4" count="1" selected="0">
            <x v="2"/>
          </reference>
        </references>
      </pivotArea>
    </format>
    <format dxfId="32">
      <pivotArea dataOnly="0" labelOnly="1" fieldPosition="0">
        <references count="2">
          <reference field="3" count="1">
            <x v="8"/>
          </reference>
          <reference field="4" count="1" selected="0">
            <x v="5"/>
          </reference>
        </references>
      </pivotArea>
    </format>
    <format dxfId="31">
      <pivotArea dataOnly="0" labelOnly="1" fieldPosition="0">
        <references count="2">
          <reference field="3" count="1">
            <x v="10"/>
          </reference>
          <reference field="4" count="1" selected="0">
            <x v="6"/>
          </reference>
        </references>
      </pivotArea>
    </format>
    <format dxfId="30">
      <pivotArea dataOnly="0" labelOnly="1" fieldPosition="0">
        <references count="2">
          <reference field="3" count="1">
            <x v="2"/>
          </reference>
          <reference field="4" count="1" selected="0">
            <x v="7"/>
          </reference>
        </references>
      </pivotArea>
    </format>
    <format dxfId="29">
      <pivotArea dataOnly="0" labelOnly="1" fieldPosition="0">
        <references count="2">
          <reference field="3" count="1">
            <x v="3"/>
          </reference>
          <reference field="4" count="1" selected="0">
            <x v="8"/>
          </reference>
        </references>
      </pivotArea>
    </format>
    <format dxfId="28">
      <pivotArea dataOnly="0" labelOnly="1" fieldPosition="0">
        <references count="2">
          <reference field="3" count="2">
            <x v="12"/>
            <x v="13"/>
          </reference>
          <reference field="4" count="1" selected="0">
            <x v="9"/>
          </reference>
        </references>
      </pivotArea>
    </format>
    <format dxfId="27">
      <pivotArea dataOnly="0" labelOnly="1" fieldPosition="0">
        <references count="2">
          <reference field="3" count="1">
            <x v="8"/>
          </reference>
          <reference field="4" count="1" selected="0">
            <x v="10"/>
          </reference>
        </references>
      </pivotArea>
    </format>
    <format dxfId="26">
      <pivotArea dataOnly="0" labelOnly="1" fieldPosition="0">
        <references count="2">
          <reference field="3" count="1">
            <x v="8"/>
          </reference>
          <reference field="4" count="1" selected="0">
            <x v="11"/>
          </reference>
        </references>
      </pivotArea>
    </format>
    <format dxfId="25">
      <pivotArea dataOnly="0" labelOnly="1" fieldPosition="0">
        <references count="2">
          <reference field="3" count="1">
            <x v="6"/>
          </reference>
          <reference field="4" count="1" selected="0">
            <x v="12"/>
          </reference>
        </references>
      </pivotArea>
    </format>
    <format dxfId="24">
      <pivotArea dataOnly="0" labelOnly="1" fieldPosition="0">
        <references count="2">
          <reference field="3" count="1">
            <x v="11"/>
          </reference>
          <reference field="4" count="1" selected="0">
            <x v="13"/>
          </reference>
        </references>
      </pivotArea>
    </format>
    <format dxfId="23">
      <pivotArea dataOnly="0" labelOnly="1" fieldPosition="0">
        <references count="2">
          <reference field="3" count="1">
            <x v="7"/>
          </reference>
          <reference field="4" count="1" selected="0">
            <x v="15"/>
          </reference>
        </references>
      </pivotArea>
    </format>
    <format dxfId="22">
      <pivotArea dataOnly="0" labelOnly="1" fieldPosition="0">
        <references count="2">
          <reference field="3" count="1">
            <x v="5"/>
          </reference>
          <reference field="4" count="1" selected="0">
            <x v="16"/>
          </reference>
        </references>
      </pivotArea>
    </format>
    <format dxfId="21">
      <pivotArea dataOnly="0" labelOnly="1" fieldPosition="0">
        <references count="2">
          <reference field="3" count="1">
            <x v="4"/>
          </reference>
          <reference field="4" count="1" selected="0">
            <x v="17"/>
          </reference>
        </references>
      </pivotArea>
    </format>
    <format dxfId="20">
      <pivotArea dataOnly="0" labelOnly="1" fieldPosition="0">
        <references count="2">
          <reference field="3" count="1">
            <x v="7"/>
          </reference>
          <reference field="4" count="1" selected="0">
            <x v="18"/>
          </reference>
        </references>
      </pivotArea>
    </format>
    <format dxfId="19">
      <pivotArea dataOnly="0" labelOnly="1" fieldPosition="0">
        <references count="2">
          <reference field="3" count="1">
            <x v="9"/>
          </reference>
          <reference field="4" count="1" selected="0">
            <x v="19"/>
          </reference>
        </references>
      </pivotArea>
    </format>
    <format dxfId="18">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72">
      <pivotArea collapsedLevelsAreSubtotals="1" fieldPosition="0">
        <references count="1">
          <reference field="8" count="0"/>
        </references>
      </pivotArea>
    </format>
    <format dxfId="71">
      <pivotArea field="8" type="button" dataOnly="0" labelOnly="1" outline="0" axis="axisRow" fieldPosition="0"/>
    </format>
    <format dxfId="70">
      <pivotArea dataOnly="0" labelOnly="1" fieldPosition="0">
        <references count="1">
          <reference field="8" count="0"/>
        </references>
      </pivotArea>
    </format>
    <format dxfId="69">
      <pivotArea dataOnly="0" labelOnly="1" outline="0" axis="axisValues" fieldPosition="0"/>
    </format>
    <format dxfId="68">
      <pivotArea grandRow="1" outline="0" collapsedLevelsAreSubtotals="1" fieldPosition="0"/>
    </format>
    <format dxfId="67">
      <pivotArea dataOnly="0" labelOnly="1" grandRow="1" outline="0" fieldPosition="0"/>
    </format>
    <format dxfId="66">
      <pivotArea dataOnly="0" labelOnly="1" fieldPosition="0">
        <references count="1">
          <reference field="1" count="0"/>
        </references>
      </pivotArea>
    </format>
    <format dxfId="65">
      <pivotArea field="1" type="button" dataOnly="0" labelOnly="1" outline="0" axis="axisCol" fieldPosition="0"/>
    </format>
    <format dxfId="64">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79">
      <pivotArea collapsedLevelsAreSubtotals="1" fieldPosition="0">
        <references count="1">
          <reference field="3" count="0"/>
        </references>
      </pivotArea>
    </format>
    <format dxfId="78">
      <pivotArea field="3" type="button" dataOnly="0" labelOnly="1" outline="0" axis="axisRow" fieldPosition="0"/>
    </format>
    <format dxfId="77">
      <pivotArea dataOnly="0" labelOnly="1" fieldPosition="0">
        <references count="1">
          <reference field="3" count="0"/>
        </references>
      </pivotArea>
    </format>
    <format dxfId="76">
      <pivotArea dataOnly="0" labelOnly="1" outline="0" axis="axisValues" fieldPosition="0"/>
    </format>
    <format dxfId="75">
      <pivotArea grandRow="1" outline="0" collapsedLevelsAreSubtotals="1" fieldPosition="0"/>
    </format>
    <format dxfId="74">
      <pivotArea dataOnly="0" labelOnly="1" fieldPosition="0">
        <references count="1">
          <reference field="0" count="0"/>
        </references>
      </pivotArea>
    </format>
    <format dxfId="73">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88">
      <pivotArea type="all" dataOnly="0" outline="0" fieldPosition="0"/>
    </format>
    <format dxfId="87">
      <pivotArea outline="0" collapsedLevelsAreSubtotals="1" fieldPosition="0"/>
    </format>
    <format dxfId="86">
      <pivotArea type="origin" dataOnly="0" labelOnly="1" outline="0" fieldPosition="0"/>
    </format>
    <format dxfId="85">
      <pivotArea field="1" type="button" dataOnly="0" labelOnly="1" outline="0" axis="axisCol" fieldPosition="0"/>
    </format>
    <format dxfId="84">
      <pivotArea type="topRight" dataOnly="0" labelOnly="1" outline="0" fieldPosition="0"/>
    </format>
    <format dxfId="83">
      <pivotArea field="3" type="button" dataOnly="0" labelOnly="1" outline="0" axis="axisRow" fieldPosition="0"/>
    </format>
    <format dxfId="82">
      <pivotArea dataOnly="0" labelOnly="1" fieldPosition="0">
        <references count="1">
          <reference field="3" count="0"/>
        </references>
      </pivotArea>
    </format>
    <format dxfId="81">
      <pivotArea dataOnly="0" labelOnly="1" fieldPosition="0">
        <references count="1">
          <reference field="1" count="0"/>
        </references>
      </pivotArea>
    </format>
    <format dxfId="80">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94">
      <pivotArea collapsedLevelsAreSubtotals="1" fieldPosition="0">
        <references count="1">
          <reference field="0" count="0"/>
        </references>
      </pivotArea>
    </format>
    <format dxfId="93">
      <pivotArea field="0" type="button" dataOnly="0" labelOnly="1" outline="0" axis="axisRow" fieldPosition="0"/>
    </format>
    <format dxfId="92">
      <pivotArea dataOnly="0" labelOnly="1" fieldPosition="0">
        <references count="1">
          <reference field="0" count="0"/>
        </references>
      </pivotArea>
    </format>
    <format dxfId="91">
      <pivotArea dataOnly="0" labelOnly="1" fieldPosition="0">
        <references count="1">
          <reference field="1" count="0"/>
        </references>
      </pivotArea>
    </format>
    <format dxfId="90">
      <pivotArea dataOnly="0" labelOnly="1" grandCol="1" outline="0" fieldPosition="0"/>
    </format>
    <format dxfId="89">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7" zoomScaleNormal="100" workbookViewId="0">
      <selection activeCell="J59" sqref="J59"/>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topLeftCell="A2" zoomScaleNormal="100" workbookViewId="0">
      <selection activeCell="A2" sqref="A2:J24"/>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R47"/>
  <sheetViews>
    <sheetView tabSelected="1" topLeftCell="BJ32" zoomScaleNormal="100" workbookViewId="0">
      <selection activeCell="BQ45" sqref="BQ45"/>
    </sheetView>
  </sheetViews>
  <sheetFormatPr defaultRowHeight="15" x14ac:dyDescent="0.25"/>
  <cols>
    <col min="1" max="1" width="25.570312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9" max="9" width="32" bestFit="1" customWidth="1"/>
    <col min="15" max="15" width="31.28515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25.85546875" bestFit="1" customWidth="1"/>
    <col min="65" max="65" width="11.28515625" customWidth="1"/>
    <col min="66" max="66" width="24.140625" bestFit="1" customWidth="1"/>
    <col min="67" max="67" width="11" bestFit="1" customWidth="1"/>
    <col min="68" max="68" width="27.140625" bestFit="1" customWidth="1"/>
    <col min="69" max="69" width="11.85546875" customWidth="1"/>
    <col min="70" max="70" width="22.5703125" bestFit="1" customWidth="1"/>
    <col min="71" max="72" width="18" bestFit="1" customWidth="1"/>
    <col min="73" max="73" width="14.28515625" bestFit="1" customWidth="1"/>
    <col min="74" max="74" width="11" bestFit="1" customWidth="1"/>
  </cols>
  <sheetData>
    <row r="4" spans="1:68" x14ac:dyDescent="0.25">
      <c r="C4" s="7" t="s">
        <v>158</v>
      </c>
      <c r="D4" s="7" t="s">
        <v>159</v>
      </c>
      <c r="E4" s="7" t="s">
        <v>160</v>
      </c>
      <c r="F4" s="7" t="s">
        <v>161</v>
      </c>
      <c r="G4" s="7" t="s">
        <v>162</v>
      </c>
      <c r="H4" s="7" t="s">
        <v>163</v>
      </c>
      <c r="I4" s="7" t="s">
        <v>187</v>
      </c>
    </row>
    <row r="5" spans="1:6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c r="I5" s="20">
        <f>(C22/D22)*100</f>
        <v>24.529331514324692</v>
      </c>
    </row>
    <row r="14" spans="1:6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6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68" ht="15.75"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c r="BL16" s="22" t="s">
        <v>188</v>
      </c>
      <c r="BN16" s="22" t="s">
        <v>189</v>
      </c>
      <c r="BP16" s="22" t="s">
        <v>190</v>
      </c>
    </row>
    <row r="17" spans="1:70"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c r="BL17" s="23">
        <v>553200000</v>
      </c>
      <c r="BN17" s="23">
        <v>179800000</v>
      </c>
      <c r="BP17" s="6">
        <v>-373400000</v>
      </c>
    </row>
    <row r="18" spans="1:70"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70"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70" ht="15.75"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c r="BL20" s="22" t="s">
        <v>191</v>
      </c>
      <c r="BN20" s="22" t="s">
        <v>192</v>
      </c>
      <c r="BP20" s="22" t="s">
        <v>193</v>
      </c>
    </row>
    <row r="21" spans="1:70"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c r="BL21" s="13">
        <v>0.3866594360086768</v>
      </c>
      <c r="BN21" s="24">
        <v>0.36243673174258856</v>
      </c>
      <c r="BP21" s="24">
        <v>0.25090383224873464</v>
      </c>
    </row>
    <row r="22" spans="1:70"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70" x14ac:dyDescent="0.25">
      <c r="AK23" s="2" t="s">
        <v>30</v>
      </c>
      <c r="AL23" s="2">
        <v>1</v>
      </c>
      <c r="AN23" s="2" t="s">
        <v>78</v>
      </c>
      <c r="AO23" s="2">
        <v>1</v>
      </c>
      <c r="BA23" s="2" t="s">
        <v>70</v>
      </c>
      <c r="BB23" s="6">
        <v>13000000</v>
      </c>
      <c r="BC23" s="13">
        <v>7.2302558398220251E-2</v>
      </c>
    </row>
    <row r="24" spans="1:70" ht="15.75" x14ac:dyDescent="0.25">
      <c r="AK24" s="2" t="s">
        <v>152</v>
      </c>
      <c r="AL24" s="2">
        <v>1</v>
      </c>
      <c r="AN24" s="2" t="s">
        <v>153</v>
      </c>
      <c r="AO24" s="2">
        <v>1</v>
      </c>
      <c r="BA24" s="2" t="s">
        <v>69</v>
      </c>
      <c r="BB24" s="6">
        <v>13000000</v>
      </c>
      <c r="BC24" s="13">
        <v>7.2302558398220251E-2</v>
      </c>
      <c r="BL24" s="22" t="s">
        <v>196</v>
      </c>
      <c r="BN24" s="22" t="s">
        <v>197</v>
      </c>
      <c r="BP24" s="22" t="s">
        <v>198</v>
      </c>
      <c r="BR24" s="25"/>
    </row>
    <row r="25" spans="1:70" x14ac:dyDescent="0.25">
      <c r="AK25" s="2" t="s">
        <v>78</v>
      </c>
      <c r="AL25" s="2">
        <v>1</v>
      </c>
      <c r="AN25" s="2" t="s">
        <v>124</v>
      </c>
      <c r="AO25" s="2">
        <v>1</v>
      </c>
      <c r="BA25" s="2" t="s">
        <v>49</v>
      </c>
      <c r="BB25" s="6">
        <v>0</v>
      </c>
      <c r="BC25" s="13">
        <v>0</v>
      </c>
      <c r="BH25" s="2"/>
      <c r="BI25" s="6"/>
      <c r="BL25" s="16">
        <v>0.6875</v>
      </c>
      <c r="BN25" s="16">
        <v>0.1875</v>
      </c>
      <c r="BP25" s="16">
        <v>6.25E-2</v>
      </c>
    </row>
    <row r="26" spans="1:70" x14ac:dyDescent="0.25">
      <c r="AK26" s="2" t="s">
        <v>64</v>
      </c>
      <c r="AL26" s="2">
        <v>1</v>
      </c>
      <c r="AN26" s="2" t="s">
        <v>65</v>
      </c>
      <c r="AO26" s="2">
        <v>2</v>
      </c>
      <c r="BA26" s="9" t="s">
        <v>164</v>
      </c>
      <c r="BB26" s="6">
        <v>179800000</v>
      </c>
      <c r="BC26" s="13">
        <v>1</v>
      </c>
    </row>
    <row r="27" spans="1:70" x14ac:dyDescent="0.25">
      <c r="AK27" s="2" t="s">
        <v>90</v>
      </c>
      <c r="AL27" s="2">
        <v>2</v>
      </c>
      <c r="AN27" s="2" t="s">
        <v>64</v>
      </c>
      <c r="AO27" s="2">
        <v>1</v>
      </c>
    </row>
    <row r="28" spans="1:70" ht="15.75" x14ac:dyDescent="0.25">
      <c r="AK28" s="2" t="s">
        <v>97</v>
      </c>
      <c r="AL28" s="2">
        <v>3</v>
      </c>
      <c r="AN28" s="2" t="s">
        <v>129</v>
      </c>
      <c r="AO28" s="2">
        <v>1</v>
      </c>
      <c r="BL28" s="26" t="s">
        <v>194</v>
      </c>
      <c r="BM28" s="21"/>
      <c r="BN28" s="26" t="s">
        <v>195</v>
      </c>
      <c r="BO28" s="21"/>
      <c r="BP28" s="26" t="s">
        <v>202</v>
      </c>
    </row>
    <row r="29" spans="1:70" x14ac:dyDescent="0.25">
      <c r="AK29" s="9" t="s">
        <v>164</v>
      </c>
      <c r="AL29" s="2">
        <v>16</v>
      </c>
      <c r="AN29" s="2" t="s">
        <v>117</v>
      </c>
      <c r="AO29" s="2">
        <v>1</v>
      </c>
      <c r="BL29" s="2">
        <v>3</v>
      </c>
      <c r="BM29" s="2"/>
      <c r="BN29" s="2">
        <v>2</v>
      </c>
      <c r="BO29" s="2"/>
      <c r="BP29" s="2">
        <v>13</v>
      </c>
    </row>
    <row r="30" spans="1:70" x14ac:dyDescent="0.25">
      <c r="AN30" s="2" t="s">
        <v>97</v>
      </c>
      <c r="AO30" s="2">
        <v>1</v>
      </c>
    </row>
    <row r="31" spans="1:70" x14ac:dyDescent="0.25">
      <c r="AN31" s="2" t="s">
        <v>98</v>
      </c>
      <c r="AO31" s="2">
        <v>1</v>
      </c>
    </row>
    <row r="32" spans="1:70" ht="15.75" x14ac:dyDescent="0.25">
      <c r="AN32" s="2" t="s">
        <v>97</v>
      </c>
      <c r="AO32" s="2">
        <v>1</v>
      </c>
      <c r="BL32" s="26" t="s">
        <v>200</v>
      </c>
      <c r="BN32" s="26" t="s">
        <v>199</v>
      </c>
      <c r="BP32" s="26" t="s">
        <v>201</v>
      </c>
    </row>
    <row r="33" spans="40:68" x14ac:dyDescent="0.25">
      <c r="AN33" s="2" t="s">
        <v>14</v>
      </c>
      <c r="AO33" s="2">
        <v>1</v>
      </c>
      <c r="BL33" s="13">
        <v>0.70199999999999996</v>
      </c>
      <c r="BN33" s="13">
        <v>0.22500000000000001</v>
      </c>
      <c r="BP33" s="13">
        <v>7.1999999999999995E-2</v>
      </c>
    </row>
    <row r="34" spans="40:68" x14ac:dyDescent="0.25">
      <c r="AN34" s="2" t="s">
        <v>13</v>
      </c>
      <c r="AO34" s="2">
        <v>1</v>
      </c>
    </row>
    <row r="35" spans="40:68" x14ac:dyDescent="0.25">
      <c r="AN35" s="2" t="s">
        <v>139</v>
      </c>
      <c r="AO35" s="2">
        <v>1</v>
      </c>
    </row>
    <row r="36" spans="40:68" x14ac:dyDescent="0.25">
      <c r="AN36" s="2" t="s">
        <v>152</v>
      </c>
      <c r="AO36" s="2">
        <v>1</v>
      </c>
    </row>
    <row r="37" spans="40:68" x14ac:dyDescent="0.25">
      <c r="AN37" s="2" t="s">
        <v>22</v>
      </c>
      <c r="AO37" s="2">
        <v>1</v>
      </c>
    </row>
    <row r="38" spans="40:68" x14ac:dyDescent="0.25">
      <c r="AN38" s="2" t="s">
        <v>90</v>
      </c>
      <c r="AO38" s="2">
        <v>1</v>
      </c>
    </row>
    <row r="39" spans="40:68" x14ac:dyDescent="0.25">
      <c r="AN39" s="2" t="s">
        <v>45</v>
      </c>
      <c r="AO39" s="2">
        <v>1</v>
      </c>
    </row>
    <row r="40" spans="40:68" x14ac:dyDescent="0.25">
      <c r="AN40" s="2" t="s">
        <v>44</v>
      </c>
      <c r="AO40" s="2">
        <v>1</v>
      </c>
    </row>
    <row r="41" spans="40:68" x14ac:dyDescent="0.25">
      <c r="AN41" s="2" t="s">
        <v>38</v>
      </c>
      <c r="AO41" s="2">
        <v>1</v>
      </c>
    </row>
    <row r="42" spans="40:68" x14ac:dyDescent="0.25">
      <c r="AN42" s="2" t="s">
        <v>30</v>
      </c>
      <c r="AO42" s="2">
        <v>1</v>
      </c>
    </row>
    <row r="43" spans="40:68" x14ac:dyDescent="0.25">
      <c r="AN43" s="2" t="s">
        <v>102</v>
      </c>
      <c r="AO43" s="2">
        <v>1</v>
      </c>
    </row>
    <row r="44" spans="40:68" x14ac:dyDescent="0.25">
      <c r="AN44" s="2" t="s">
        <v>90</v>
      </c>
      <c r="AO44" s="2">
        <v>1</v>
      </c>
    </row>
    <row r="45" spans="40:68" x14ac:dyDescent="0.25">
      <c r="AN45" s="2" t="s">
        <v>134</v>
      </c>
      <c r="AO45" s="2">
        <v>1</v>
      </c>
    </row>
    <row r="46" spans="40:68" x14ac:dyDescent="0.25">
      <c r="AN46" s="2" t="s">
        <v>132</v>
      </c>
      <c r="AO46" s="2">
        <v>1</v>
      </c>
    </row>
    <row r="47" spans="40:68"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opLeftCell="A71" workbookViewId="0">
      <selection activeCell="G76" sqref="G76"/>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2026-07-17T22:07:05Z</dcterms:modified>
</cp:coreProperties>
</file>