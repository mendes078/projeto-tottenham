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C78B24D5-1790-47A4-AD4B-391A532F1D1F}"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4"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7" i="6" l="1"/>
  <c r="BE18" i="6"/>
  <c r="BE19" i="6"/>
  <c r="BE16" i="6"/>
  <c r="AC17" i="6"/>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<sst xmlns="http://schemas.openxmlformats.org/spreadsheetml/2006/main" count="502" uniqueCount="185">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</sst>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8">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2" borderId="0" xfId="0" applyFont="1" applyFill="1" applyAlignment="1"/>
  </cellXfs>
  <cellStyles count="2">
    <cellStyle name="Normal" xfId="0" builtinId="0"/>
    <cellStyle name="Porcentagem" xfId="1" builtinId="5"/>
  </cellStyles>
  <dxfs count="843">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Defensor</c:v>
                </c:pt>
                <c:pt idx="1">
                  <c:v>Atacante</c:v>
                </c:pt>
                <c:pt idx="2">
                  <c:v>Meio-campista</c:v>
                </c:pt>
              </c:strCache>
            </c:strRef>
          </c:cat>
          <c:val>
            <c:numRef>
              <c:f>Análises!$P$16:$P$19</c:f>
              <c:numCache>
                <c:formatCode>[$£-809]#,##0.00</c:formatCode>
                <c:ptCount val="3"/>
                <c:pt idx="0">
                  <c:v>138800000</c:v>
                </c:pt>
                <c:pt idx="1">
                  <c:v>200500000</c:v>
                </c:pt>
                <c:pt idx="2">
                  <c:v>213900000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0.25090383224873464</c:v>
                </c:pt>
                <c:pt idx="1">
                  <c:v>0.36243673174258856</c:v>
                </c:pt>
                <c:pt idx="2">
                  <c:v>0.3866594360086768</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52</xdr:col>
      <xdr:colOff>1626495</xdr:colOff>
      <xdr:row>6</xdr:row>
      <xdr:rowOff>144531</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3061495" y="1276748"/>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51</xdr:col>
      <xdr:colOff>527048</xdr:colOff>
      <xdr:row>8</xdr:row>
      <xdr:rowOff>125801</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1351010" y="163542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125802</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381085" y="201283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6072945"/>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60729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18</xdr:col>
      <xdr:colOff>96703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13B9B0-7D32-4F4A-9400-E25F20E67AB4}" name="Tabela dinâmica7" cacheId="4"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rowHeaderCaption="Posições" colHeaderCaption="Tipo de Movimentação">
  <location ref="BA14:BB19" firstHeaderRow="1" firstDataRow="2" firstDataCol="1"/>
  <pivotFields count="10">
    <pivotField showAll="0"/>
    <pivotField axis="axisCol" showAll="0">
      <items count="3">
        <item h="1" x="0"/>
        <item n="Saída" x="1"/>
        <item t="default"/>
      </items>
    </pivotField>
    <pivotField showAll="0">
      <items count="21">
        <item x="19"/>
        <item x="17"/>
        <item x="2"/>
        <item x="7"/>
        <item x="8"/>
        <item x="18"/>
        <item x="16"/>
        <item x="13"/>
        <item x="14"/>
        <item x="5"/>
        <item x="6"/>
        <item x="15"/>
        <item x="3"/>
        <item x="11"/>
        <item x="10"/>
        <item x="4"/>
        <item x="1"/>
        <item x="0"/>
        <item x="9"/>
        <item x="12"/>
        <item t="default"/>
      </items>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i>
    <i>
      <x v="2"/>
    </i>
    <i>
      <x v="1"/>
    </i>
    <i t="grand">
      <x/>
    </i>
  </rowItems>
  <colFields count="1">
    <field x="1"/>
  </colFields>
  <colItems count="1">
    <i>
      <x v="1"/>
    </i>
  </colItems>
  <dataFields count="1">
    <dataField name="Soma do Valor das Transferências" fld="6" baseField="0" baseItem="0" numFmtId="164"/>
  </dataFields>
  <formats count="16">
    <format dxfId="0">
      <pivotArea collapsedLevelsAreSubtotals="1" fieldPosition="0">
        <references count="1">
          <reference field="3" count="0"/>
        </references>
      </pivotArea>
    </format>
    <format dxfId="1">
      <pivotArea type="origin" dataOnly="0" labelOnly="1" outline="0" fieldPosition="0"/>
    </format>
    <format dxfId="2">
      <pivotArea field="1" type="button" dataOnly="0" labelOnly="1" outline="0" axis="axisCol" fieldPosition="0"/>
    </format>
    <format dxfId="3">
      <pivotArea grandRow="1" outline="0" collapsedLevelsAreSubtotals="1" fieldPosition="0"/>
    </format>
    <format dxfId="4">
      <pivotArea collapsedLevelsAreSubtotals="1" fieldPosition="0">
        <references count="1">
          <reference field="3" count="1">
            <x v="0"/>
          </reference>
        </references>
      </pivotArea>
    </format>
    <format dxfId="5">
      <pivotArea collapsedLevelsAreSubtotals="1" fieldPosition="0">
        <references count="1">
          <reference field="3" count="1">
            <x v="1"/>
          </reference>
        </references>
      </pivotArea>
    </format>
    <format dxfId="6">
      <pivotArea collapsedLevelsAreSubtotals="1" fieldPosition="0">
        <references count="1">
          <reference field="3" count="1">
            <x v="2"/>
          </reference>
        </references>
      </pivotArea>
    </format>
    <format dxfId="7">
      <pivotArea field="3" type="button" dataOnly="0" labelOnly="1" outline="0" axis="axisRow" fieldPosition="0"/>
    </format>
    <format dxfId="8">
      <pivotArea dataOnly="0" labelOnly="1" fieldPosition="0">
        <references count="1">
          <reference field="3" count="0"/>
        </references>
      </pivotArea>
    </format>
    <format dxfId="9">
      <pivotArea dataOnly="0" labelOnly="1" fieldPosition="0">
        <references count="1">
          <reference field="1" count="0"/>
        </references>
      </pivotArea>
    </format>
    <format dxfId="10">
      <pivotArea collapsedLevelsAreSubtotals="1" fieldPosition="0">
        <references count="1">
          <reference field="3" count="1">
            <x v="0"/>
          </reference>
        </references>
      </pivotArea>
    </format>
    <format dxfId="11">
      <pivotArea collapsedLevelsAreSubtotals="1" fieldPosition="0">
        <references count="1">
          <reference field="3" count="1">
            <x v="1"/>
          </reference>
        </references>
      </pivotArea>
    </format>
    <format dxfId="12">
      <pivotArea collapsedLevelsAreSubtotals="1" fieldPosition="0">
        <references count="1">
          <reference field="3" count="1">
            <x v="2"/>
          </reference>
        </references>
      </pivotArea>
    </format>
    <format dxfId="13">
      <pivotArea field="3" type="button" dataOnly="0" labelOnly="1" outline="0" axis="axisRow" fieldPosition="0"/>
    </format>
    <format dxfId="14">
      <pivotArea dataOnly="0" labelOnly="1" fieldPosition="0">
        <references count="1">
          <reference field="3" count="0"/>
        </references>
      </pivotArea>
    </format>
    <format dxfId="15">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4"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a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1"/>
    </i>
    <i>
      <x/>
    </i>
    <i>
      <x v="2"/>
    </i>
    <i t="grand">
      <x/>
    </i>
  </rowItems>
  <colFields count="1">
    <field x="1"/>
  </colFields>
  <colItems count="1">
    <i>
      <x v="1"/>
    </i>
  </colItems>
  <dataFields count="1">
    <dataField name="Soma do Valor das Transferências" fld="6" baseField="0" baseItem="0" numFmtId="164"/>
  </dataFields>
  <formats count="9">
    <format dxfId="774">
      <pivotArea type="all" dataOnly="0" outline="0" fieldPosition="0"/>
    </format>
    <format dxfId="773">
      <pivotArea outline="0" collapsedLevelsAreSubtotals="1" fieldPosition="0"/>
    </format>
    <format dxfId="772">
      <pivotArea type="origin" dataOnly="0" labelOnly="1" outline="0" fieldPosition="0"/>
    </format>
    <format dxfId="771">
      <pivotArea field="1" type="button" dataOnly="0" labelOnly="1" outline="0" axis="axisCol" fieldPosition="0"/>
    </format>
    <format dxfId="770">
      <pivotArea type="topRight" dataOnly="0" labelOnly="1" outline="0" fieldPosition="0"/>
    </format>
    <format dxfId="769">
      <pivotArea field="3" type="button" dataOnly="0" labelOnly="1" outline="0" axis="axisRow" fieldPosition="0"/>
    </format>
    <format dxfId="768">
      <pivotArea dataOnly="0" labelOnly="1" fieldPosition="0">
        <references count="1">
          <reference field="3" count="0"/>
        </references>
      </pivotArea>
    </format>
    <format dxfId="767">
      <pivotArea dataOnly="0" labelOnly="1" fieldPosition="0">
        <references count="1">
          <reference field="1" count="0"/>
        </references>
      </pivotArea>
    </format>
    <format dxfId="76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820">
      <pivotArea type="all" dataOnly="0" outline="0" fieldPosition="0"/>
    </format>
    <format dxfId="819">
      <pivotArea outline="0" collapsedLevelsAreSubtotals="1" fieldPosition="0"/>
    </format>
    <format dxfId="818">
      <pivotArea type="origin" dataOnly="0" labelOnly="1" outline="0" fieldPosition="0"/>
    </format>
    <format dxfId="817">
      <pivotArea field="0" type="button" dataOnly="0" labelOnly="1" outline="0" axis="axisCol" fieldPosition="0"/>
    </format>
    <format dxfId="816">
      <pivotArea field="4" type="button" dataOnly="0" labelOnly="1" outline="0" axis="axisRow" fieldPosition="0"/>
    </format>
    <format dxfId="815">
      <pivotArea dataOnly="0" labelOnly="1" fieldPosition="0">
        <references count="1">
          <reference field="4" count="15">
            <x v="2"/>
            <x v="5"/>
            <x v="6"/>
            <x v="7"/>
            <x v="8"/>
            <x v="9"/>
            <x v="10"/>
            <x v="11"/>
            <x v="12"/>
            <x v="13"/>
            <x v="15"/>
            <x v="16"/>
            <x v="17"/>
            <x v="18"/>
            <x v="19"/>
          </reference>
        </references>
      </pivotArea>
    </format>
    <format dxfId="814">
      <pivotArea dataOnly="0" labelOnly="1" grandRow="1" outline="0" fieldPosition="0"/>
    </format>
    <format dxfId="813">
      <pivotArea dataOnly="0" labelOnly="1" fieldPosition="0">
        <references count="2">
          <reference field="3" count="1">
            <x v="0"/>
          </reference>
          <reference field="4" count="1" selected="0">
            <x v="2"/>
          </reference>
        </references>
      </pivotArea>
    </format>
    <format dxfId="812">
      <pivotArea dataOnly="0" labelOnly="1" fieldPosition="0">
        <references count="2">
          <reference field="3" count="1">
            <x v="8"/>
          </reference>
          <reference field="4" count="1" selected="0">
            <x v="5"/>
          </reference>
        </references>
      </pivotArea>
    </format>
    <format dxfId="811">
      <pivotArea dataOnly="0" labelOnly="1" fieldPosition="0">
        <references count="2">
          <reference field="3" count="1">
            <x v="10"/>
          </reference>
          <reference field="4" count="1" selected="0">
            <x v="6"/>
          </reference>
        </references>
      </pivotArea>
    </format>
    <format dxfId="810">
      <pivotArea dataOnly="0" labelOnly="1" fieldPosition="0">
        <references count="2">
          <reference field="3" count="1">
            <x v="2"/>
          </reference>
          <reference field="4" count="1" selected="0">
            <x v="7"/>
          </reference>
        </references>
      </pivotArea>
    </format>
    <format dxfId="809">
      <pivotArea dataOnly="0" labelOnly="1" fieldPosition="0">
        <references count="2">
          <reference field="3" count="1">
            <x v="3"/>
          </reference>
          <reference field="4" count="1" selected="0">
            <x v="8"/>
          </reference>
        </references>
      </pivotArea>
    </format>
    <format dxfId="808">
      <pivotArea dataOnly="0" labelOnly="1" fieldPosition="0">
        <references count="2">
          <reference field="3" count="2">
            <x v="12"/>
            <x v="13"/>
          </reference>
          <reference field="4" count="1" selected="0">
            <x v="9"/>
          </reference>
        </references>
      </pivotArea>
    </format>
    <format dxfId="807">
      <pivotArea dataOnly="0" labelOnly="1" fieldPosition="0">
        <references count="2">
          <reference field="3" count="1">
            <x v="8"/>
          </reference>
          <reference field="4" count="1" selected="0">
            <x v="10"/>
          </reference>
        </references>
      </pivotArea>
    </format>
    <format dxfId="806">
      <pivotArea dataOnly="0" labelOnly="1" fieldPosition="0">
        <references count="2">
          <reference field="3" count="1">
            <x v="8"/>
          </reference>
          <reference field="4" count="1" selected="0">
            <x v="11"/>
          </reference>
        </references>
      </pivotArea>
    </format>
    <format dxfId="805">
      <pivotArea dataOnly="0" labelOnly="1" fieldPosition="0">
        <references count="2">
          <reference field="3" count="1">
            <x v="6"/>
          </reference>
          <reference field="4" count="1" selected="0">
            <x v="12"/>
          </reference>
        </references>
      </pivotArea>
    </format>
    <format dxfId="804">
      <pivotArea dataOnly="0" labelOnly="1" fieldPosition="0">
        <references count="2">
          <reference field="3" count="1">
            <x v="11"/>
          </reference>
          <reference field="4" count="1" selected="0">
            <x v="13"/>
          </reference>
        </references>
      </pivotArea>
    </format>
    <format dxfId="803">
      <pivotArea dataOnly="0" labelOnly="1" fieldPosition="0">
        <references count="2">
          <reference field="3" count="1">
            <x v="7"/>
          </reference>
          <reference field="4" count="1" selected="0">
            <x v="15"/>
          </reference>
        </references>
      </pivotArea>
    </format>
    <format dxfId="802">
      <pivotArea dataOnly="0" labelOnly="1" fieldPosition="0">
        <references count="2">
          <reference field="3" count="1">
            <x v="5"/>
          </reference>
          <reference field="4" count="1" selected="0">
            <x v="16"/>
          </reference>
        </references>
      </pivotArea>
    </format>
    <format dxfId="801">
      <pivotArea dataOnly="0" labelOnly="1" fieldPosition="0">
        <references count="2">
          <reference field="3" count="1">
            <x v="4"/>
          </reference>
          <reference field="4" count="1" selected="0">
            <x v="17"/>
          </reference>
        </references>
      </pivotArea>
    </format>
    <format dxfId="800">
      <pivotArea dataOnly="0" labelOnly="1" fieldPosition="0">
        <references count="2">
          <reference field="3" count="1">
            <x v="7"/>
          </reference>
          <reference field="4" count="1" selected="0">
            <x v="18"/>
          </reference>
        </references>
      </pivotArea>
    </format>
    <format dxfId="799">
      <pivotArea dataOnly="0" labelOnly="1" fieldPosition="0">
        <references count="2">
          <reference field="3" count="1">
            <x v="9"/>
          </reference>
          <reference field="4" count="1" selected="0">
            <x v="19"/>
          </reference>
        </references>
      </pivotArea>
    </format>
    <format dxfId="798">
      <pivotArea dataOnly="0" labelOnly="1" fieldPosition="0">
        <references count="1">
          <reference field="0" count="0"/>
        </references>
      </pivotArea>
    </format>
    <format dxfId="797">
      <pivotArea type="all" dataOnly="0" outline="0" fieldPosition="0"/>
    </format>
    <format dxfId="796">
      <pivotArea outline="0" collapsedLevelsAreSubtotals="1" fieldPosition="0"/>
    </format>
    <format dxfId="795">
      <pivotArea type="origin" dataOnly="0" labelOnly="1" outline="0" fieldPosition="0"/>
    </format>
    <format dxfId="794">
      <pivotArea field="0" type="button" dataOnly="0" labelOnly="1" outline="0" axis="axisCol" fieldPosition="0"/>
    </format>
    <format dxfId="793">
      <pivotArea field="4" type="button" dataOnly="0" labelOnly="1" outline="0" axis="axisRow" fieldPosition="0"/>
    </format>
    <format dxfId="792">
      <pivotArea dataOnly="0" labelOnly="1" fieldPosition="0">
        <references count="1">
          <reference field="4" count="15">
            <x v="2"/>
            <x v="5"/>
            <x v="6"/>
            <x v="7"/>
            <x v="8"/>
            <x v="9"/>
            <x v="10"/>
            <x v="11"/>
            <x v="12"/>
            <x v="13"/>
            <x v="15"/>
            <x v="16"/>
            <x v="17"/>
            <x v="18"/>
            <x v="19"/>
          </reference>
        </references>
      </pivotArea>
    </format>
    <format dxfId="791">
      <pivotArea dataOnly="0" labelOnly="1" grandRow="1" outline="0" fieldPosition="0"/>
    </format>
    <format dxfId="790">
      <pivotArea dataOnly="0" labelOnly="1" fieldPosition="0">
        <references count="2">
          <reference field="3" count="1">
            <x v="0"/>
          </reference>
          <reference field="4" count="1" selected="0">
            <x v="2"/>
          </reference>
        </references>
      </pivotArea>
    </format>
    <format dxfId="789">
      <pivotArea dataOnly="0" labelOnly="1" fieldPosition="0">
        <references count="2">
          <reference field="3" count="1">
            <x v="8"/>
          </reference>
          <reference field="4" count="1" selected="0">
            <x v="5"/>
          </reference>
        </references>
      </pivotArea>
    </format>
    <format dxfId="788">
      <pivotArea dataOnly="0" labelOnly="1" fieldPosition="0">
        <references count="2">
          <reference field="3" count="1">
            <x v="10"/>
          </reference>
          <reference field="4" count="1" selected="0">
            <x v="6"/>
          </reference>
        </references>
      </pivotArea>
    </format>
    <format dxfId="787">
      <pivotArea dataOnly="0" labelOnly="1" fieldPosition="0">
        <references count="2">
          <reference field="3" count="1">
            <x v="2"/>
          </reference>
          <reference field="4" count="1" selected="0">
            <x v="7"/>
          </reference>
        </references>
      </pivotArea>
    </format>
    <format dxfId="786">
      <pivotArea dataOnly="0" labelOnly="1" fieldPosition="0">
        <references count="2">
          <reference field="3" count="1">
            <x v="3"/>
          </reference>
          <reference field="4" count="1" selected="0">
            <x v="8"/>
          </reference>
        </references>
      </pivotArea>
    </format>
    <format dxfId="785">
      <pivotArea dataOnly="0" labelOnly="1" fieldPosition="0">
        <references count="2">
          <reference field="3" count="2">
            <x v="12"/>
            <x v="13"/>
          </reference>
          <reference field="4" count="1" selected="0">
            <x v="9"/>
          </reference>
        </references>
      </pivotArea>
    </format>
    <format dxfId="784">
      <pivotArea dataOnly="0" labelOnly="1" fieldPosition="0">
        <references count="2">
          <reference field="3" count="1">
            <x v="8"/>
          </reference>
          <reference field="4" count="1" selected="0">
            <x v="10"/>
          </reference>
        </references>
      </pivotArea>
    </format>
    <format dxfId="783">
      <pivotArea dataOnly="0" labelOnly="1" fieldPosition="0">
        <references count="2">
          <reference field="3" count="1">
            <x v="8"/>
          </reference>
          <reference field="4" count="1" selected="0">
            <x v="11"/>
          </reference>
        </references>
      </pivotArea>
    </format>
    <format dxfId="782">
      <pivotArea dataOnly="0" labelOnly="1" fieldPosition="0">
        <references count="2">
          <reference field="3" count="1">
            <x v="6"/>
          </reference>
          <reference field="4" count="1" selected="0">
            <x v="12"/>
          </reference>
        </references>
      </pivotArea>
    </format>
    <format dxfId="781">
      <pivotArea dataOnly="0" labelOnly="1" fieldPosition="0">
        <references count="2">
          <reference field="3" count="1">
            <x v="11"/>
          </reference>
          <reference field="4" count="1" selected="0">
            <x v="13"/>
          </reference>
        </references>
      </pivotArea>
    </format>
    <format dxfId="780">
      <pivotArea dataOnly="0" labelOnly="1" fieldPosition="0">
        <references count="2">
          <reference field="3" count="1">
            <x v="7"/>
          </reference>
          <reference field="4" count="1" selected="0">
            <x v="15"/>
          </reference>
        </references>
      </pivotArea>
    </format>
    <format dxfId="779">
      <pivotArea dataOnly="0" labelOnly="1" fieldPosition="0">
        <references count="2">
          <reference field="3" count="1">
            <x v="5"/>
          </reference>
          <reference field="4" count="1" selected="0">
            <x v="16"/>
          </reference>
        </references>
      </pivotArea>
    </format>
    <format dxfId="778">
      <pivotArea dataOnly="0" labelOnly="1" fieldPosition="0">
        <references count="2">
          <reference field="3" count="1">
            <x v="4"/>
          </reference>
          <reference field="4" count="1" selected="0">
            <x v="17"/>
          </reference>
        </references>
      </pivotArea>
    </format>
    <format dxfId="777">
      <pivotArea dataOnly="0" labelOnly="1" fieldPosition="0">
        <references count="2">
          <reference field="3" count="1">
            <x v="7"/>
          </reference>
          <reference field="4" count="1" selected="0">
            <x v="18"/>
          </reference>
        </references>
      </pivotArea>
    </format>
    <format dxfId="776">
      <pivotArea dataOnly="0" labelOnly="1" fieldPosition="0">
        <references count="2">
          <reference field="3" count="1">
            <x v="9"/>
          </reference>
          <reference field="4" count="1" selected="0">
            <x v="19"/>
          </reference>
        </references>
      </pivotArea>
    </format>
    <format dxfId="775">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826">
      <pivotArea collapsedLevelsAreSubtotals="1" fieldPosition="0">
        <references count="1">
          <reference field="0" count="0"/>
        </references>
      </pivotArea>
    </format>
    <format dxfId="825">
      <pivotArea field="0" type="button" dataOnly="0" labelOnly="1" outline="0" axis="axisRow" fieldPosition="0"/>
    </format>
    <format dxfId="824">
      <pivotArea dataOnly="0" labelOnly="1" fieldPosition="0">
        <references count="1">
          <reference field="0" count="0"/>
        </references>
      </pivotArea>
    </format>
    <format dxfId="823">
      <pivotArea dataOnly="0" labelOnly="1" fieldPosition="0">
        <references count="1">
          <reference field="1" count="0"/>
        </references>
      </pivotArea>
    </format>
    <format dxfId="822">
      <pivotArea dataOnly="0" labelOnly="1" grandCol="1" outline="0" fieldPosition="0"/>
    </format>
    <format dxfId="82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833">
      <pivotArea collapsedLevelsAreSubtotals="1" fieldPosition="0">
        <references count="1">
          <reference field="3" count="0"/>
        </references>
      </pivotArea>
    </format>
    <format dxfId="832">
      <pivotArea field="3" type="button" dataOnly="0" labelOnly="1" outline="0" axis="axisRow" fieldPosition="0"/>
    </format>
    <format dxfId="831">
      <pivotArea dataOnly="0" labelOnly="1" fieldPosition="0">
        <references count="1">
          <reference field="3" count="0"/>
        </references>
      </pivotArea>
    </format>
    <format dxfId="830">
      <pivotArea dataOnly="0" labelOnly="1" outline="0" axis="axisValues" fieldPosition="0"/>
    </format>
    <format dxfId="829">
      <pivotArea grandRow="1" outline="0" collapsedLevelsAreSubtotals="1" fieldPosition="0"/>
    </format>
    <format dxfId="828">
      <pivotArea dataOnly="0" labelOnly="1" fieldPosition="0">
        <references count="1">
          <reference field="0" count="0"/>
        </references>
      </pivotArea>
    </format>
    <format dxfId="827">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4"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42">
      <pivotArea collapsedLevelsAreSubtotals="1" fieldPosition="0">
        <references count="1">
          <reference field="8" count="0"/>
        </references>
      </pivotArea>
    </format>
    <format dxfId="841">
      <pivotArea field="8" type="button" dataOnly="0" labelOnly="1" outline="0" axis="axisRow" fieldPosition="0"/>
    </format>
    <format dxfId="840">
      <pivotArea dataOnly="0" labelOnly="1" fieldPosition="0">
        <references count="1">
          <reference field="8" count="0"/>
        </references>
      </pivotArea>
    </format>
    <format dxfId="839">
      <pivotArea dataOnly="0" labelOnly="1" outline="0" axis="axisValues" fieldPosition="0"/>
    </format>
    <format dxfId="838">
      <pivotArea grandRow="1" outline="0" collapsedLevelsAreSubtotals="1" fieldPosition="0"/>
    </format>
    <format dxfId="837">
      <pivotArea dataOnly="0" labelOnly="1" grandRow="1" outline="0" fieldPosition="0"/>
    </format>
    <format dxfId="836">
      <pivotArea dataOnly="0" labelOnly="1" fieldPosition="0">
        <references count="1">
          <reference field="1" count="0"/>
        </references>
      </pivotArea>
    </format>
    <format dxfId="835">
      <pivotArea field="1" type="button" dataOnly="0" labelOnly="1" outline="0" axis="axisCol" fieldPosition="0"/>
    </format>
    <format dxfId="834">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D58" sqref="D58"/>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E47"/>
  <sheetViews>
    <sheetView tabSelected="1" topLeftCell="AU7" zoomScale="106" zoomScaleNormal="106" workbookViewId="0">
      <selection activeCell="BG13" sqref="BG13"/>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32.42578125" bestFit="1" customWidth="1"/>
    <col min="54" max="54" width="26.85546875" bestFit="1" customWidth="1"/>
    <col min="55" max="55" width="11" bestFit="1" customWidth="1"/>
    <col min="56" max="56" width="14.28515625" bestFit="1" customWidth="1"/>
    <col min="57" max="57" width="25.28515625" bestFit="1" customWidth="1"/>
  </cols>
  <sheetData>
    <row r="4" spans="1:57" x14ac:dyDescent="0.25">
      <c r="C4" s="7" t="s">
        <v>158</v>
      </c>
      <c r="D4" s="7" t="s">
        <v>159</v>
      </c>
      <c r="E4" s="7" t="s">
        <v>160</v>
      </c>
      <c r="F4" s="7" t="s">
        <v>161</v>
      </c>
      <c r="G4" s="7" t="s">
        <v>162</v>
      </c>
      <c r="H4" s="7" t="s">
        <v>163</v>
      </c>
    </row>
    <row r="5" spans="1:57"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57" x14ac:dyDescent="0.25">
      <c r="A14" s="8" t="s">
        <v>167</v>
      </c>
      <c r="B14" s="8" t="s">
        <v>166</v>
      </c>
      <c r="O14" s="10" t="s">
        <v>170</v>
      </c>
      <c r="P14" s="10" t="s">
        <v>171</v>
      </c>
      <c r="Y14" s="10" t="s">
        <v>175</v>
      </c>
      <c r="Z14" s="10" t="s">
        <v>171</v>
      </c>
      <c r="AK14" s="10" t="s">
        <v>182</v>
      </c>
      <c r="AL14" s="8" t="s">
        <v>175</v>
      </c>
      <c r="AN14" s="10" t="s">
        <v>184</v>
      </c>
      <c r="AO14" s="10" t="s">
        <v>175</v>
      </c>
      <c r="BA14" s="10" t="s">
        <v>170</v>
      </c>
      <c r="BB14" s="10" t="s">
        <v>171</v>
      </c>
    </row>
    <row r="15" spans="1:57"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10" t="s">
        <v>169</v>
      </c>
      <c r="BB15" s="2" t="s">
        <v>48</v>
      </c>
      <c r="BD15" s="11" t="s">
        <v>169</v>
      </c>
      <c r="BE15" s="11" t="s">
        <v>172</v>
      </c>
    </row>
    <row r="16" spans="1:57" x14ac:dyDescent="0.25">
      <c r="A16" s="2" t="s">
        <v>9</v>
      </c>
      <c r="B16" s="6">
        <v>92000000</v>
      </c>
      <c r="C16" s="6">
        <v>27000000</v>
      </c>
      <c r="D16" s="6">
        <v>119000000</v>
      </c>
      <c r="F16" s="2" t="s">
        <v>9</v>
      </c>
      <c r="G16" s="6">
        <f t="shared" ref="G16:G22" si="0">C16-B16</f>
        <v>-65000000</v>
      </c>
      <c r="O16" s="2" t="s">
        <v>70</v>
      </c>
      <c r="P16" s="6">
        <v>138800000</v>
      </c>
      <c r="R16" s="2" t="s">
        <v>156</v>
      </c>
      <c r="S16" s="13">
        <f>P16/$P$19</f>
        <v>0.25090383224873464</v>
      </c>
      <c r="Y16" s="2" t="s">
        <v>179</v>
      </c>
      <c r="Z16" s="2">
        <v>1</v>
      </c>
      <c r="AB16" s="2" t="s">
        <v>179</v>
      </c>
      <c r="AC16" s="16">
        <f>Z16/$Z$20</f>
        <v>6.25E-2</v>
      </c>
      <c r="AK16" s="2" t="s">
        <v>13</v>
      </c>
      <c r="AL16" s="2">
        <v>1</v>
      </c>
      <c r="AN16" s="2" t="s">
        <v>59</v>
      </c>
      <c r="AO16" s="2">
        <v>1</v>
      </c>
      <c r="BA16" s="2" t="s">
        <v>77</v>
      </c>
      <c r="BB16" s="6">
        <v>126300000</v>
      </c>
      <c r="BD16" s="2" t="s">
        <v>77</v>
      </c>
      <c r="BE16" s="13">
        <f>BB16/$BB$19</f>
        <v>0.70244716351501668</v>
      </c>
    </row>
    <row r="17" spans="1:57"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 t="shared" ref="AC17:AC20" si="1">Z17/$Z$20</f>
        <v>6.25E-2</v>
      </c>
      <c r="AK17" s="2" t="s">
        <v>129</v>
      </c>
      <c r="AL17" s="2">
        <v>1</v>
      </c>
      <c r="AN17" s="2" t="s">
        <v>151</v>
      </c>
      <c r="AO17" s="2">
        <v>1</v>
      </c>
      <c r="BA17" s="2" t="s">
        <v>156</v>
      </c>
      <c r="BB17" s="6">
        <v>40500000</v>
      </c>
      <c r="BD17" s="2" t="s">
        <v>156</v>
      </c>
      <c r="BE17" s="13">
        <f t="shared" ref="BE17:BE19" si="2">BB17/$BB$19</f>
        <v>0.22525027808676307</v>
      </c>
    </row>
    <row r="18" spans="1:57" x14ac:dyDescent="0.25">
      <c r="A18" s="2" t="s">
        <v>55</v>
      </c>
      <c r="B18" s="6">
        <v>71000000</v>
      </c>
      <c r="C18" s="6">
        <v>13000000</v>
      </c>
      <c r="D18" s="6">
        <v>84000000</v>
      </c>
      <c r="F18" s="2" t="s">
        <v>55</v>
      </c>
      <c r="G18" s="6">
        <f t="shared" si="0"/>
        <v>-58000000</v>
      </c>
      <c r="O18" s="2" t="s">
        <v>156</v>
      </c>
      <c r="P18" s="6">
        <v>213900000</v>
      </c>
      <c r="R18" s="2" t="s">
        <v>70</v>
      </c>
      <c r="S18" s="13">
        <f>P18/$P$19</f>
        <v>0.3866594360086768</v>
      </c>
      <c r="Y18" s="2" t="s">
        <v>177</v>
      </c>
      <c r="Z18" s="2">
        <v>3</v>
      </c>
      <c r="AB18" s="2" t="s">
        <v>177</v>
      </c>
      <c r="AC18" s="16">
        <f t="shared" si="1"/>
        <v>0.1875</v>
      </c>
      <c r="AK18" s="2" t="s">
        <v>151</v>
      </c>
      <c r="AL18" s="2">
        <v>1</v>
      </c>
      <c r="AN18" s="2" t="s">
        <v>112</v>
      </c>
      <c r="AO18" s="2">
        <v>1</v>
      </c>
      <c r="BA18" s="2" t="s">
        <v>70</v>
      </c>
      <c r="BB18" s="6">
        <v>13000000</v>
      </c>
      <c r="BD18" s="2" t="s">
        <v>70</v>
      </c>
      <c r="BE18" s="13">
        <f t="shared" si="2"/>
        <v>7.2302558398220251E-2</v>
      </c>
    </row>
    <row r="19" spans="1:57"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 t="shared" si="1"/>
        <v>0.6875</v>
      </c>
      <c r="AK19" s="2" t="s">
        <v>124</v>
      </c>
      <c r="AL19" s="2">
        <v>1</v>
      </c>
      <c r="AN19" s="2" t="s">
        <v>97</v>
      </c>
      <c r="AO19" s="2">
        <v>1</v>
      </c>
      <c r="BA19" s="9" t="s">
        <v>164</v>
      </c>
      <c r="BB19" s="6">
        <v>179800000</v>
      </c>
      <c r="BD19" s="17" t="s">
        <v>164</v>
      </c>
      <c r="BE19" s="14">
        <f t="shared" si="2"/>
        <v>1</v>
      </c>
    </row>
    <row r="20" spans="1:57" x14ac:dyDescent="0.25">
      <c r="A20" s="2" t="s">
        <v>93</v>
      </c>
      <c r="B20" s="6">
        <v>133800000</v>
      </c>
      <c r="C20" s="6">
        <v>95000000</v>
      </c>
      <c r="D20" s="6">
        <v>228800000</v>
      </c>
      <c r="F20" s="2" t="s">
        <v>93</v>
      </c>
      <c r="G20" s="6">
        <f t="shared" si="0"/>
        <v>-38800000</v>
      </c>
      <c r="Y20" s="2" t="s">
        <v>164</v>
      </c>
      <c r="Z20" s="2">
        <v>16</v>
      </c>
      <c r="AB20" s="12" t="s">
        <v>164</v>
      </c>
      <c r="AC20" s="15">
        <f t="shared" si="1"/>
        <v>1</v>
      </c>
      <c r="AK20" s="2" t="s">
        <v>132</v>
      </c>
      <c r="AL20" s="2">
        <v>1</v>
      </c>
      <c r="AN20" s="2" t="s">
        <v>85</v>
      </c>
      <c r="AO20" s="2">
        <v>1</v>
      </c>
    </row>
    <row r="21" spans="1:57" x14ac:dyDescent="0.25">
      <c r="A21" s="2" t="s">
        <v>109</v>
      </c>
      <c r="B21" s="6">
        <v>106000000</v>
      </c>
      <c r="C21" s="6">
        <v>13500000</v>
      </c>
      <c r="D21" s="6">
        <v>119500000</v>
      </c>
      <c r="F21" s="2" t="s">
        <v>109</v>
      </c>
      <c r="G21" s="6">
        <f t="shared" si="0"/>
        <v>-92500000</v>
      </c>
      <c r="AK21" s="2" t="s">
        <v>44</v>
      </c>
      <c r="AL21" s="2">
        <v>1</v>
      </c>
      <c r="AN21" s="2" t="s">
        <v>84</v>
      </c>
      <c r="AO21" s="2">
        <v>1</v>
      </c>
    </row>
    <row r="22" spans="1:57" x14ac:dyDescent="0.25">
      <c r="A22" s="9" t="s">
        <v>164</v>
      </c>
      <c r="B22" s="6">
        <v>553200000</v>
      </c>
      <c r="C22" s="6">
        <v>179800000</v>
      </c>
      <c r="D22" s="6">
        <v>733000000</v>
      </c>
      <c r="F22" s="12" t="s">
        <v>164</v>
      </c>
      <c r="G22" s="6">
        <f t="shared" si="0"/>
        <v>-373400000</v>
      </c>
      <c r="AK22" s="2" t="s">
        <v>84</v>
      </c>
      <c r="AL22" s="2">
        <v>1</v>
      </c>
      <c r="AN22" s="2" t="s">
        <v>79</v>
      </c>
      <c r="AO22" s="2">
        <v>1</v>
      </c>
    </row>
    <row r="23" spans="1:57" x14ac:dyDescent="0.25">
      <c r="AK23" s="2" t="s">
        <v>30</v>
      </c>
      <c r="AL23" s="2">
        <v>1</v>
      </c>
      <c r="AN23" s="2" t="s">
        <v>78</v>
      </c>
      <c r="AO23" s="2">
        <v>1</v>
      </c>
    </row>
    <row r="24" spans="1:57" x14ac:dyDescent="0.25">
      <c r="AK24" s="2" t="s">
        <v>152</v>
      </c>
      <c r="AL24" s="2">
        <v>1</v>
      </c>
      <c r="AN24" s="2" t="s">
        <v>153</v>
      </c>
      <c r="AO24" s="2">
        <v>1</v>
      </c>
    </row>
    <row r="25" spans="1:57" x14ac:dyDescent="0.25">
      <c r="AK25" s="2" t="s">
        <v>78</v>
      </c>
      <c r="AL25" s="2">
        <v>1</v>
      </c>
      <c r="AN25" s="2" t="s">
        <v>124</v>
      </c>
      <c r="AO25" s="2">
        <v>1</v>
      </c>
    </row>
    <row r="26" spans="1:57" x14ac:dyDescent="0.25">
      <c r="AK26" s="2" t="s">
        <v>64</v>
      </c>
      <c r="AL26" s="2">
        <v>1</v>
      </c>
      <c r="AN26" s="2" t="s">
        <v>65</v>
      </c>
      <c r="AO26" s="2">
        <v>2</v>
      </c>
    </row>
    <row r="27" spans="1:57" x14ac:dyDescent="0.25">
      <c r="AK27" s="2" t="s">
        <v>90</v>
      </c>
      <c r="AL27" s="2">
        <v>2</v>
      </c>
      <c r="AN27" s="2" t="s">
        <v>64</v>
      </c>
      <c r="AO27" s="2">
        <v>1</v>
      </c>
    </row>
    <row r="28" spans="1:57" x14ac:dyDescent="0.25">
      <c r="AK28" s="2" t="s">
        <v>97</v>
      </c>
      <c r="AL28" s="2">
        <v>3</v>
      </c>
      <c r="AN28" s="2" t="s">
        <v>129</v>
      </c>
      <c r="AO28" s="2">
        <v>1</v>
      </c>
    </row>
    <row r="29" spans="1:57" x14ac:dyDescent="0.25">
      <c r="AK29" s="9" t="s">
        <v>164</v>
      </c>
      <c r="AL29" s="2">
        <v>16</v>
      </c>
      <c r="AN29" s="2" t="s">
        <v>117</v>
      </c>
      <c r="AO29" s="2">
        <v>1</v>
      </c>
    </row>
    <row r="30" spans="1:57" x14ac:dyDescent="0.25">
      <c r="AN30" s="2" t="s">
        <v>97</v>
      </c>
      <c r="AO30" s="2">
        <v>1</v>
      </c>
    </row>
    <row r="31" spans="1:57" x14ac:dyDescent="0.25">
      <c r="AN31" s="2" t="s">
        <v>98</v>
      </c>
      <c r="AO31" s="2">
        <v>1</v>
      </c>
    </row>
    <row r="32" spans="1:57" x14ac:dyDescent="0.25">
      <c r="AN32" s="2" t="s">
        <v>97</v>
      </c>
      <c r="AO32" s="2">
        <v>1</v>
      </c>
    </row>
    <row r="33" spans="40:41" x14ac:dyDescent="0.25">
      <c r="AN33" s="2" t="s">
        <v>14</v>
      </c>
      <c r="AO33" s="2">
        <v>1</v>
      </c>
    </row>
    <row r="34" spans="40:41" x14ac:dyDescent="0.25">
      <c r="AN34" s="2" t="s">
        <v>13</v>
      </c>
      <c r="AO34" s="2">
        <v>1</v>
      </c>
    </row>
    <row r="35" spans="40:41" x14ac:dyDescent="0.25">
      <c r="AN35" s="2" t="s">
        <v>139</v>
      </c>
      <c r="AO35" s="2">
        <v>1</v>
      </c>
    </row>
    <row r="36" spans="40:41" x14ac:dyDescent="0.25">
      <c r="AN36" s="2" t="s">
        <v>152</v>
      </c>
      <c r="AO36" s="2">
        <v>1</v>
      </c>
    </row>
    <row r="37" spans="40:41" x14ac:dyDescent="0.25">
      <c r="AN37" s="2" t="s">
        <v>22</v>
      </c>
      <c r="AO37" s="2">
        <v>1</v>
      </c>
    </row>
    <row r="38" spans="40:41" x14ac:dyDescent="0.25">
      <c r="AN38" s="2" t="s">
        <v>90</v>
      </c>
      <c r="AO38" s="2">
        <v>1</v>
      </c>
    </row>
    <row r="39" spans="40:41" x14ac:dyDescent="0.25">
      <c r="AN39" s="2" t="s">
        <v>45</v>
      </c>
      <c r="AO39" s="2">
        <v>1</v>
      </c>
    </row>
    <row r="40" spans="40:41" x14ac:dyDescent="0.25">
      <c r="AN40" s="2" t="s">
        <v>44</v>
      </c>
      <c r="AO40" s="2">
        <v>1</v>
      </c>
    </row>
    <row r="41" spans="40:41" x14ac:dyDescent="0.25">
      <c r="AN41" s="2" t="s">
        <v>38</v>
      </c>
      <c r="AO41" s="2">
        <v>1</v>
      </c>
    </row>
    <row r="42" spans="40:41" x14ac:dyDescent="0.25">
      <c r="AN42" s="2" t="s">
        <v>30</v>
      </c>
      <c r="AO42" s="2">
        <v>1</v>
      </c>
    </row>
    <row r="43" spans="40:41" x14ac:dyDescent="0.25">
      <c r="AN43" s="2" t="s">
        <v>102</v>
      </c>
      <c r="AO43" s="2">
        <v>1</v>
      </c>
    </row>
    <row r="44" spans="40:41" x14ac:dyDescent="0.25">
      <c r="AN44" s="2" t="s">
        <v>90</v>
      </c>
      <c r="AO44" s="2">
        <v>1</v>
      </c>
    </row>
    <row r="45" spans="40:41" x14ac:dyDescent="0.25">
      <c r="AN45" s="2" t="s">
        <v>134</v>
      </c>
      <c r="AO45" s="2">
        <v>1</v>
      </c>
    </row>
    <row r="46" spans="40:41" x14ac:dyDescent="0.25">
      <c r="AN46" s="2" t="s">
        <v>132</v>
      </c>
      <c r="AO46" s="2">
        <v>1</v>
      </c>
    </row>
    <row r="47" spans="40:41"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55"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2026-06-29T14:43:07Z</dcterms:modified>
</cp:coreProperties>
</file>