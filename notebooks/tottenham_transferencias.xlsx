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kaike\OneDrive\Documentos\GitHub\projeto-tottenham\notebooks\"/>
    </mc:Choice>
  </mc:AlternateContent>
  <xr:revisionPtr revIDLastSave="0" documentId="13_ncr:1_{681008FF-7272-44B6-8A66-C8C4BF480717}" xr6:coauthVersionLast="47" xr6:coauthVersionMax="47" xr10:uidLastSave="{00000000-0000-0000-0000-000000000000}"/>
  <bookViews>
    <workbookView xWindow="-120" yWindow="-120" windowWidth="20730" windowHeight="11040" xr2:uid="{00000000-000D-0000-FFFF-FFFF00000000}"/>
  </bookViews>
  <sheets>
    <sheet name="Apresentação" sheetId="3" r:id="rId1"/>
    <sheet name="Dados Brutos" sheetId="1" r:id="rId2"/>
    <sheet name="Dados Tratados" sheetId="4" r:id="rId3"/>
    <sheet name="Análises" sheetId="6" r:id="rId4"/>
    <sheet name="Anotações" sheetId="5" r:id="rId5"/>
  </sheets>
  <definedNames>
    <definedName name="_xlnm._FilterDatabase" localSheetId="2" hidden="1">'Dados Tratados'!$A$2:$J$24</definedName>
  </definedNames>
  <calcPr calcId="191029"/>
  <pivotCaches>
    <pivotCache cacheId="0" r:id="rId6"/>
    <pivotCache cacheId="1"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6" l="1"/>
  <c r="G22" i="6"/>
  <c r="G21" i="6"/>
  <c r="AC20" i="6"/>
  <c r="G20" i="6"/>
  <c r="AC19" i="6"/>
  <c r="S19" i="6"/>
  <c r="G19" i="6"/>
  <c r="AC18" i="6"/>
  <c r="S18" i="6"/>
  <c r="G18" i="6"/>
  <c r="AC17" i="6"/>
  <c r="S17" i="6"/>
  <c r="G17" i="6"/>
  <c r="AC16" i="6"/>
  <c r="S16" i="6"/>
  <c r="G16" i="6"/>
  <c r="H5" i="6"/>
  <c r="G5" i="6"/>
  <c r="F5" i="6"/>
  <c r="E5" i="6"/>
  <c r="D5" i="6"/>
  <c r="C5" i="6"/>
  <c r="I24" i="4"/>
  <c r="I23" i="4"/>
  <c r="I22" i="4"/>
  <c r="I21" i="4"/>
  <c r="I20" i="4"/>
  <c r="I19" i="4"/>
  <c r="I18" i="4"/>
  <c r="I17" i="4"/>
  <c r="I16" i="4"/>
  <c r="I15" i="4"/>
  <c r="I14" i="4"/>
  <c r="I13" i="4"/>
  <c r="I12" i="4"/>
  <c r="I11" i="4"/>
  <c r="I10" i="4"/>
  <c r="I9" i="4"/>
  <c r="I8" i="4"/>
  <c r="I7" i="4"/>
  <c r="I6" i="4"/>
  <c r="I5" i="4"/>
  <c r="I4" i="4"/>
  <c r="I3" i="4"/>
</calcChain>
</file>

<file path=xl/sharedStrings.xml><?xml version="1.0" encoding="utf-8"?>
<sst xmlns="http://schemas.openxmlformats.org/spreadsheetml/2006/main" count="532" uniqueCount="203">
  <si>
    <t>temporada</t>
  </si>
  <si>
    <t>tipo_mov</t>
  </si>
  <si>
    <t>nome_jogador</t>
  </si>
  <si>
    <t>posição</t>
  </si>
  <si>
    <t>nacionalidade</t>
  </si>
  <si>
    <t>clube</t>
  </si>
  <si>
    <t>valor_transferencia</t>
  </si>
  <si>
    <t>idade</t>
  </si>
  <si>
    <t>tipo_negociacao</t>
  </si>
  <si>
    <t>2019/20</t>
  </si>
  <si>
    <t>entrada</t>
  </si>
  <si>
    <t>Tanguy Ndombele</t>
  </si>
  <si>
    <t>meio campo</t>
  </si>
  <si>
    <t>França</t>
  </si>
  <si>
    <t>Lyon</t>
  </si>
  <si>
    <t>62000000</t>
  </si>
  <si>
    <t>Compra</t>
  </si>
  <si>
    <t>2019-20</t>
  </si>
  <si>
    <t>Entrada</t>
  </si>
  <si>
    <t xml:space="preserve">Steven Bergwijn </t>
  </si>
  <si>
    <t>PONTA</t>
  </si>
  <si>
    <t>holanda</t>
  </si>
  <si>
    <t>PSV Eindhoven</t>
  </si>
  <si>
    <t>€30M</t>
  </si>
  <si>
    <t>22</t>
  </si>
  <si>
    <t>compra</t>
  </si>
  <si>
    <t xml:space="preserve">2019/20 </t>
  </si>
  <si>
    <t>saida</t>
  </si>
  <si>
    <t>Christian Eriksen</t>
  </si>
  <si>
    <t>Meia</t>
  </si>
  <si>
    <t>Dinamarca</t>
  </si>
  <si>
    <t>Inter de Milão</t>
  </si>
  <si>
    <t>27 milhões</t>
  </si>
  <si>
    <t>Venda</t>
  </si>
  <si>
    <t>2020/21</t>
  </si>
  <si>
    <t>Pierre Emile Højbjerg</t>
  </si>
  <si>
    <t>volante</t>
  </si>
  <si>
    <t>dinamarca</t>
  </si>
  <si>
    <t>Southampton</t>
  </si>
  <si>
    <t>16.6m</t>
  </si>
  <si>
    <t>COMPRA</t>
  </si>
  <si>
    <t>2020_21</t>
  </si>
  <si>
    <t xml:space="preserve"> Sergio Reguilón</t>
  </si>
  <si>
    <t>Lateral-esquerdo</t>
  </si>
  <si>
    <t>Espanha</t>
  </si>
  <si>
    <t>Real Madrid</t>
  </si>
  <si>
    <t>30000000</t>
  </si>
  <si>
    <t>23 anos</t>
  </si>
  <si>
    <t>Saída</t>
  </si>
  <si>
    <t>Jan Vertonghen</t>
  </si>
  <si>
    <t>ZAG</t>
  </si>
  <si>
    <t>Bélgica</t>
  </si>
  <si>
    <t>Benfica</t>
  </si>
  <si>
    <t>Livre</t>
  </si>
  <si>
    <t>fim contrato</t>
  </si>
  <si>
    <t>2021/22</t>
  </si>
  <si>
    <t>Cristian Romero</t>
  </si>
  <si>
    <t>zagueiro</t>
  </si>
  <si>
    <t>argentina</t>
  </si>
  <si>
    <t>Atalanta</t>
  </si>
  <si>
    <t>52M EUR</t>
  </si>
  <si>
    <t>2021-22</t>
  </si>
  <si>
    <t>Dejan Kulusevski</t>
  </si>
  <si>
    <t>Ponta direita</t>
  </si>
  <si>
    <t>Suécia</t>
  </si>
  <si>
    <t>Juventus</t>
  </si>
  <si>
    <t>loan</t>
  </si>
  <si>
    <t>emprestimo</t>
  </si>
  <si>
    <t>Saida</t>
  </si>
  <si>
    <t>Toby Alderweireld</t>
  </si>
  <si>
    <t>Defensor</t>
  </si>
  <si>
    <t>Belgica</t>
  </si>
  <si>
    <t>Al Duhail</t>
  </si>
  <si>
    <t>13.000.000</t>
  </si>
  <si>
    <t>VENDA</t>
  </si>
  <si>
    <t>2022/23</t>
  </si>
  <si>
    <t>Richarlison</t>
  </si>
  <si>
    <t>Atacante</t>
  </si>
  <si>
    <t>Brasil</t>
  </si>
  <si>
    <t>Everton</t>
  </si>
  <si>
    <t>58 mi</t>
  </si>
  <si>
    <t>2022/2023</t>
  </si>
  <si>
    <t>Yves Bissouma</t>
  </si>
  <si>
    <t>VOL</t>
  </si>
  <si>
    <t>Mali</t>
  </si>
  <si>
    <t>Brighton</t>
  </si>
  <si>
    <t>€29.000.000</t>
  </si>
  <si>
    <t>25</t>
  </si>
  <si>
    <t>Steven Bergwijn</t>
  </si>
  <si>
    <t>winger</t>
  </si>
  <si>
    <t>Holanda</t>
  </si>
  <si>
    <t>Ajax</t>
  </si>
  <si>
    <t>31,3M</t>
  </si>
  <si>
    <t>2023/24</t>
  </si>
  <si>
    <t>ENTRADA</t>
  </si>
  <si>
    <t>James Maddison</t>
  </si>
  <si>
    <t>meio-campo</t>
  </si>
  <si>
    <t>Inglaterra</t>
  </si>
  <si>
    <t>Leicester City</t>
  </si>
  <si>
    <t>46300000</t>
  </si>
  <si>
    <t>Micky van de Ven</t>
  </si>
  <si>
    <t xml:space="preserve">zagueiro </t>
  </si>
  <si>
    <t>Wolfsburg</t>
  </si>
  <si>
    <t>40M</t>
  </si>
  <si>
    <t>Harry Kane</t>
  </si>
  <si>
    <t>Centroavante</t>
  </si>
  <si>
    <t xml:space="preserve"> Inglaterra</t>
  </si>
  <si>
    <t>Bayern</t>
  </si>
  <si>
    <t>95000000</t>
  </si>
  <si>
    <t>2024/25</t>
  </si>
  <si>
    <t>Dominic Solanke</t>
  </si>
  <si>
    <t>ATA</t>
  </si>
  <si>
    <t>Bournemouth</t>
  </si>
  <si>
    <t>65 milhões</t>
  </si>
  <si>
    <t>Archie Gray</t>
  </si>
  <si>
    <t>Meio Campo</t>
  </si>
  <si>
    <t>inglaterra</t>
  </si>
  <si>
    <t>Leeds United</t>
  </si>
  <si>
    <t>41m</t>
  </si>
  <si>
    <t>18</t>
  </si>
  <si>
    <t>Pierre-Emile Hojbjerg</t>
  </si>
  <si>
    <t>Marseille</t>
  </si>
  <si>
    <t>13.5M</t>
  </si>
  <si>
    <t>Ivan Perisic</t>
  </si>
  <si>
    <t>Croácia</t>
  </si>
  <si>
    <t>Inter</t>
  </si>
  <si>
    <t>Entrda</t>
  </si>
  <si>
    <t>Rodrigo Bentancur</t>
  </si>
  <si>
    <t>meiocampo</t>
  </si>
  <si>
    <t>Uruguai</t>
  </si>
  <si>
    <t>19000000</t>
  </si>
  <si>
    <t>Matt Doherty</t>
  </si>
  <si>
    <t>Irlanda</t>
  </si>
  <si>
    <t>Lateral</t>
  </si>
  <si>
    <t>Wolves</t>
  </si>
  <si>
    <t>16.8M</t>
  </si>
  <si>
    <t>Brennan Johnson</t>
  </si>
  <si>
    <t>Ponta</t>
  </si>
  <si>
    <t>País de Gales</t>
  </si>
  <si>
    <t>Nottingham Forest</t>
  </si>
  <si>
    <t>tipo_movimentação</t>
  </si>
  <si>
    <t>valor_transferência</t>
  </si>
  <si>
    <t>tipo_negociação</t>
  </si>
  <si>
    <t>Qualitativa Ordinal</t>
  </si>
  <si>
    <t>Qualitativa Nominal</t>
  </si>
  <si>
    <t>Quantitativa Contínua</t>
  </si>
  <si>
    <t>Quantitativa Discreta</t>
  </si>
  <si>
    <t>Tanguy Ndombélé</t>
  </si>
  <si>
    <t>Ivan Perišić</t>
  </si>
  <si>
    <t>Pierre-Emile Højbjerg</t>
  </si>
  <si>
    <t>Sergio Reguilón</t>
  </si>
  <si>
    <t>Argentina</t>
  </si>
  <si>
    <t>País De Gales</t>
  </si>
  <si>
    <t>Inter Milan</t>
  </si>
  <si>
    <t>Bayern München</t>
  </si>
  <si>
    <t>Olympique Marseille</t>
  </si>
  <si>
    <t>Meio-campista</t>
  </si>
  <si>
    <t>Empréstimo</t>
  </si>
  <si>
    <t>Total de Transferências</t>
  </si>
  <si>
    <t>Total de Entradas</t>
  </si>
  <si>
    <t>Total de Saídas</t>
  </si>
  <si>
    <t>Total de Jogadores</t>
  </si>
  <si>
    <t>Total de Nacionalidades</t>
  </si>
  <si>
    <t>Idade Média dos Jogadores</t>
  </si>
  <si>
    <t>Total Geral</t>
  </si>
  <si>
    <t>Temporadas</t>
  </si>
  <si>
    <t/>
  </si>
  <si>
    <t>Somas de Entradas e Saídas</t>
  </si>
  <si>
    <t>Saldo por Temporada</t>
  </si>
  <si>
    <t>Posições</t>
  </si>
  <si>
    <t>Soma do Valor das Transferências</t>
  </si>
  <si>
    <t>Tipo de Movimentação</t>
  </si>
  <si>
    <t>Porcentagem (%) do Total</t>
  </si>
  <si>
    <t>Faixa Etária</t>
  </si>
  <si>
    <t>faixa_etária</t>
  </si>
  <si>
    <t>Contagem de Jogadores</t>
  </si>
  <si>
    <t>Jovem (21-25 anos)</t>
  </si>
  <si>
    <t>Experiente (26-30 anos)</t>
  </si>
  <si>
    <t>Veterano (31+ anos)</t>
  </si>
  <si>
    <t>Muito Jovem (16-20 anos)</t>
  </si>
  <si>
    <t>Porcentagem (% do Total)</t>
  </si>
  <si>
    <t>Nacionalidades</t>
  </si>
  <si>
    <t>Contagem de Nacionalidades</t>
  </si>
  <si>
    <t>Origem das Contratações</t>
  </si>
  <si>
    <t>Clubes</t>
  </si>
  <si>
    <t>Posições e Jogadores</t>
  </si>
  <si>
    <t>Soma do Valores</t>
  </si>
  <si>
    <t>Saídas/Vendas de Jogadores em %</t>
  </si>
  <si>
    <t>Investimento no Período</t>
  </si>
  <si>
    <t>Retorno no Período</t>
  </si>
  <si>
    <t>Saldo Total no Período</t>
  </si>
  <si>
    <t>Inv. em Meio-campistas</t>
  </si>
  <si>
    <t>Inv. em Atacantes</t>
  </si>
  <si>
    <t>Inv. em Defensores</t>
  </si>
  <si>
    <t>Jogadores Ingleses</t>
  </si>
  <si>
    <t>Jogadores Holandeses</t>
  </si>
  <si>
    <t>Cont. de Jovens</t>
  </si>
  <si>
    <t>Cont. de Experientes</t>
  </si>
  <si>
    <t>Cont. de Veteranos</t>
  </si>
  <si>
    <t>Ret. de Meio-campistas</t>
  </si>
  <si>
    <t>Ret. de Atacantes</t>
  </si>
  <si>
    <t>Ret. de Defensores</t>
  </si>
  <si>
    <t>Nacionalidades Diversas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</si>
</sst>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00"/>
    <numFmt numFmtId="165" formatCode="0.0%"/>
  </numFmts>
  <fonts count="7" x14ac:knownFonts="1">
    <font>
      <sz val="11"/>
      <color theme="1"/>
      <name val="Calibri"/>
      <family val="2"/>
      <scheme val="minor"/>
    </font>
    <font>
      <b/>
      <sz val="11"/>
      <name val="Calibri"/>
    </font>
    <font>
      <b/>
      <sz val="11"/>
      <name val="Calibri"/>
      <family val="2"/>
    </font>
    <font>
      <b/>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3" fillId="2" borderId="0" xfId="0" applyFont="1" applyFill="1" applyAlignment="1">
      <alignment horizontal="center"/>
    </xf>
    <xf numFmtId="0" fontId="3" fillId="2" borderId="0" xfId="0" applyFont="1" applyFill="1"/>
    <xf numFmtId="165" fontId="0" fillId="0" borderId="0" xfId="0" applyNumberFormat="1" applyAlignment="1">
      <alignment horizontal="center"/>
    </xf>
    <xf numFmtId="165" fontId="3" fillId="2" borderId="0" xfId="0" applyNumberFormat="1" applyFont="1" applyFill="1" applyAlignment="1">
      <alignment horizontal="center"/>
    </xf>
    <xf numFmtId="9" fontId="3" fillId="2" borderId="0" xfId="1" applyFont="1" applyFill="1" applyAlignment="1">
      <alignment horizontal="center"/>
    </xf>
    <xf numFmtId="9" fontId="0" fillId="0" borderId="0" xfId="1" applyFont="1" applyAlignment="1">
      <alignment horizontal="center"/>
    </xf>
    <xf numFmtId="0" fontId="3" fillId="3" borderId="1" xfId="0" applyFont="1" applyFill="1" applyBorder="1" applyAlignment="1">
      <alignment horizontal="center"/>
    </xf>
    <xf numFmtId="0" fontId="3" fillId="0" borderId="1" xfId="0" applyFont="1" applyBorder="1" applyAlignment="1">
      <alignment horizontal="center"/>
    </xf>
    <xf numFmtId="164" fontId="3" fillId="0" borderId="1" xfId="0" applyNumberFormat="1" applyFont="1" applyBorder="1" applyAlignment="1">
      <alignment horizontal="center"/>
    </xf>
    <xf numFmtId="9" fontId="0" fillId="0" borderId="0" xfId="0" applyNumberFormat="1"/>
    <xf numFmtId="0" fontId="5" fillId="0" borderId="0" xfId="0" applyFont="1"/>
    <xf numFmtId="0" fontId="6" fillId="2" borderId="0" xfId="0" applyFont="1" applyFill="1" applyAlignment="1">
      <alignment horizontal="center"/>
    </xf>
    <xf numFmtId="164" fontId="0" fillId="0" borderId="2" xfId="0" applyNumberFormat="1" applyBorder="1" applyAlignment="1">
      <alignment horizontal="center"/>
    </xf>
    <xf numFmtId="165" fontId="0" fillId="0" borderId="0" xfId="1" applyNumberFormat="1" applyFont="1" applyAlignment="1">
      <alignment horizontal="center"/>
    </xf>
    <xf numFmtId="0" fontId="6" fillId="0" borderId="0" xfId="0" applyFont="1" applyAlignment="1">
      <alignment horizontal="center"/>
    </xf>
    <xf numFmtId="0" fontId="6" fillId="4" borderId="0" xfId="0" applyFont="1" applyFill="1" applyAlignment="1">
      <alignment horizontal="center"/>
    </xf>
  </cellXfs>
  <cellStyles count="2">
    <cellStyle name="Normal" xfId="0" builtinId="0"/>
    <cellStyle name="Porcentagem" xfId="1" builtinId="5"/>
  </cellStyles>
  <dxfs count="95">
    <dxf>
      <alignment horizontal="center"/>
    </dxf>
    <dxf>
      <alignment horizontal="center"/>
    </dxf>
    <dxf>
      <alignment horizontal="center"/>
    </dxf>
    <dxf>
      <alignment horizontal="center"/>
    </dxf>
    <dxf>
      <alignment horizontal="center"/>
    </dxf>
    <dxf>
      <alignment horizontal="center"/>
    </dxf>
    <dxf>
      <numFmt numFmtId="165" formatCode="0.0%"/>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[tottenham_transferencias.xlsx]Análises!Tabela dinâmica1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Valores Provenientes</a:t>
            </a:r>
            <a:r>
              <a:rPr lang="pt-BR" baseline="0"/>
              <a:t> de</a:t>
            </a:r>
            <a:r>
              <a:rPr lang="pt-BR"/>
              <a:t> Entradas</a:t>
            </a:r>
            <a:r>
              <a:rPr lang="pt-BR" baseline="0"/>
              <a:t> e Saídas</a:t>
            </a:r>
            <a:r>
              <a:rPr lang="pt-BR"/>
              <a:t> por Temporada (</a:t>
            </a:r>
            <a:r>
              <a:rPr lang="pt-BR" sz="1400" b="0" i="0" u="none" strike="noStrike" baseline="0"/>
              <a:t>£</a:t>
            </a:r>
            <a:r>
              <a:rPr lang="pt-BR"/>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Análises!$B$14:$B$15</c:f>
              <c:strCache>
                <c:ptCount val="1"/>
                <c:pt idx="0">
                  <c:v>Entrada</c:v>
                </c:pt>
              </c:strCache>
            </c:strRef>
          </c:tx>
          <c:spPr>
            <a:solidFill>
              <a:schemeClr val="accent1"/>
            </a:solidFill>
            <a:ln>
              <a:noFill/>
            </a:ln>
            <a:effectLst/>
          </c:spPr>
          <c:invertIfNegative val="0"/>
          <c:dLbls>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Análises!$A$16:$A$22</c:f>
              <c:strCache>
                <c:ptCount val="6"/>
                <c:pt idx="0">
                  <c:v>2019/20</c:v>
                </c:pt>
                <c:pt idx="1">
                  <c:v>2020/21</c:v>
                </c:pt>
                <c:pt idx="2">
                  <c:v>2021/22</c:v>
                </c:pt>
                <c:pt idx="3">
                  <c:v>2022/23</c:v>
                </c:pt>
                <c:pt idx="4">
                  <c:v>2023/24</c:v>
                </c:pt>
                <c:pt idx="5">
                  <c:v>2024/25</c:v>
                </c:pt>
              </c:strCache>
            </c:strRef>
          </c:cat>
          <c:val>
            <c:numRef>
              <c:f>Análises!$B$16:$B$22</c:f>
              <c:numCache>
                <c:formatCode>[$£-809]#,##0.00</c:formatCode>
                <c:ptCount val="6"/>
                <c:pt idx="0">
                  <c:v>92000000</c:v>
                </c:pt>
                <c:pt idx="1">
                  <c:v>63400000</c:v>
                </c:pt>
                <c:pt idx="2">
                  <c:v>71000000</c:v>
                </c:pt>
                <c:pt idx="3">
                  <c:v>87000000</c:v>
                </c:pt>
                <c:pt idx="4">
                  <c:v>133800000</c:v>
                </c:pt>
                <c:pt idx="5">
                  <c:v>106000000</c:v>
                </c:pt>
              </c:numCache>
            </c:numRef>
          </c:val>
          <c:extLst>
            <c:ext xmlns:c16="http://schemas.microsoft.com/office/drawing/2014/chart" uri="{C3380CC4-5D6E-409C-BE32-E72D297353CC}">
              <c16:uniqueId val="{00000000-5D17-42E1-897A-3727A62A8404}"/>
            </c:ext>
          </c:extLst>
        </c:ser>
        <c:ser>
          <c:idx val="1"/>
          <c:order val="1"/>
          <c:tx>
            <c:strRef>
              <c:f>Análises!$C$14:$C$15</c:f>
              <c:strCache>
                <c:ptCount val="1"/>
                <c:pt idx="0">
                  <c:v>Saída</c:v>
                </c:pt>
              </c:strCache>
            </c:strRef>
          </c:tx>
          <c:spPr>
            <a:solidFill>
              <a:schemeClr val="accent2"/>
            </a:solidFill>
            <a:ln>
              <a:noFill/>
            </a:ln>
            <a:effectLst/>
          </c:spPr>
          <c:invertIfNegative val="0"/>
          <c:dLbls>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Análises!$A$16:$A$22</c:f>
              <c:strCache>
                <c:ptCount val="6"/>
                <c:pt idx="0">
                  <c:v>2019/20</c:v>
                </c:pt>
                <c:pt idx="1">
                  <c:v>2020/21</c:v>
                </c:pt>
                <c:pt idx="2">
                  <c:v>2021/22</c:v>
                </c:pt>
                <c:pt idx="3">
                  <c:v>2022/23</c:v>
                </c:pt>
                <c:pt idx="4">
                  <c:v>2023/24</c:v>
                </c:pt>
                <c:pt idx="5">
                  <c:v>2024/25</c:v>
                </c:pt>
              </c:strCache>
            </c:strRef>
          </c:cat>
          <c:val>
            <c:numRef>
              <c:f>Análises!$C$16:$C$22</c:f>
              <c:numCache>
                <c:formatCode>[$£-809]#,##0.00</c:formatCode>
                <c:ptCount val="6"/>
                <c:pt idx="0">
                  <c:v>27000000</c:v>
                </c:pt>
                <c:pt idx="1">
                  <c:v>0</c:v>
                </c:pt>
                <c:pt idx="2">
                  <c:v>13000000</c:v>
                </c:pt>
                <c:pt idx="3">
                  <c:v>31300000</c:v>
                </c:pt>
                <c:pt idx="4">
                  <c:v>95000000</c:v>
                </c:pt>
                <c:pt idx="5">
                  <c:v>13500000</c:v>
                </c:pt>
              </c:numCache>
            </c:numRef>
          </c:val>
          <c:extLst>
            <c:ext xmlns:c16="http://schemas.microsoft.com/office/drawing/2014/chart" uri="{C3380CC4-5D6E-409C-BE32-E72D297353CC}">
              <c16:uniqueId val="{00000001-5D17-42E1-897A-3727A62A8404}"/>
            </c:ext>
          </c:extLst>
        </c:ser>
        <c:dLbls>
          <c:dLblPos val="outEnd"/>
          <c:showLegendKey val="0"/>
          <c:showVal val="1"/>
          <c:showCatName val="0"/>
          <c:showSerName val="0"/>
          <c:showPercent val="0"/>
          <c:showBubbleSize val="0"/>
        </c:dLbls>
        <c:gapWidth val="219"/>
        <c:overlap val="-27"/>
        <c:axId val="1745656976"/>
        <c:axId val="1745657936"/>
      </c:barChart>
      <c:catAx>
        <c:axId val="174565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5657936"/>
        <c:crosses val="autoZero"/>
        <c:auto val="1"/>
        <c:lblAlgn val="ctr"/>
        <c:lblOffset val="100"/>
        <c:noMultiLvlLbl val="0"/>
      </c:catAx>
      <c:valAx>
        <c:axId val="1745657936"/>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4565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Análises!$G$15</c:f>
              <c:strCache>
                <c:ptCount val="1"/>
                <c:pt idx="0">
                  <c:v>Saldo por Temporada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Análises!$F$16:$F$22</c:f>
              <c:strCache>
                <c:ptCount val="7"/>
                <c:pt idx="0">
                  <c:v>2019/20</c:v>
                </c:pt>
                <c:pt idx="1">
                  <c:v>2020/21</c:v>
                </c:pt>
                <c:pt idx="2">
                  <c:v>2021/22</c:v>
                </c:pt>
                <c:pt idx="3">
                  <c:v>2022/23</c:v>
                </c:pt>
                <c:pt idx="4">
                  <c:v>2023/24</c:v>
                </c:pt>
                <c:pt idx="5">
                  <c:v>2024/25</c:v>
                </c:pt>
                <c:pt idx="6">
                  <c:v>Total Geral</c:v>
                </c:pt>
              </c:strCache>
            </c:strRef>
          </c:cat>
          <c:val>
            <c:numRef>
              <c:f>Análises!$G$16:$G$22</c:f>
              <c:numCache>
                <c:formatCode>[$£-809]#,##0.00</c:formatCode>
                <c:ptCount val="7"/>
                <c:pt idx="0">
                  <c:v>-65000000</c:v>
                </c:pt>
                <c:pt idx="1">
                  <c:v>-63400000</c:v>
                </c:pt>
                <c:pt idx="2">
                  <c:v>-58000000</c:v>
                </c:pt>
                <c:pt idx="3">
                  <c:v>-55700000</c:v>
                </c:pt>
                <c:pt idx="4">
                  <c:v>-38800000</c:v>
                </c:pt>
                <c:pt idx="5">
                  <c:v>-92500000</c:v>
                </c:pt>
                <c:pt idx="6">
                  <c:v>-373400000</c:v>
                </c:pt>
              </c:numCache>
            </c:numRef>
          </c:val>
          <c:extLst>
            <c:ext xmlns:c16="http://schemas.microsoft.com/office/drawing/2014/chart" uri="{C3380CC4-5D6E-409C-BE32-E72D297353CC}">
              <c16:uniqueId val="{00000000-EF0E-4C2E-A93D-61AB7162C937}"/>
            </c:ext>
          </c:extLst>
        </c:ser>
        <c:dLbls>
          <c:showLegendKey val="0"/>
          <c:showVal val="0"/>
          <c:showCatName val="0"/>
          <c:showSerName val="0"/>
          <c:showPercent val="0"/>
          <c:showBubbleSize val="0"/>
        </c:dLbls>
        <c:gapWidth val="219"/>
        <c:overlap val="-27"/>
        <c:axId val="1861808064"/>
        <c:axId val="1861817184"/>
      </c:barChart>
      <c:catAx>
        <c:axId val="1861808064"/>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1817184"/>
        <c:crosses val="autoZero"/>
        <c:auto val="1"/>
        <c:lblAlgn val="ctr"/>
        <c:lblOffset val="100"/>
        <c:noMultiLvlLbl val="0"/>
      </c:catAx>
      <c:valAx>
        <c:axId val="1861817184"/>
        <c:scaling>
          <c:orientation val="minMax"/>
        </c:scaling>
        <c:delete val="0"/>
        <c:axPos val="l"/>
        <c:majorGridlines>
          <c:spPr>
            <a:ln w="9525" cap="flat" cmpd="sng" algn="ctr">
              <a:solidFill>
                <a:schemeClr val="tx1">
                  <a:lumMod val="15000"/>
                  <a:lumOff val="85000"/>
                </a:schemeClr>
              </a:solidFill>
              <a:round/>
            </a:ln>
            <a:effectLst/>
          </c:spPr>
        </c:majorGridlines>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1808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[tottenham_transferencias.xlsx]Análises!Tabela dinâmica2</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a:t>Investimento em Contratações por Posição (</a:t>
            </a:r>
            <a:r>
              <a:rPr lang="pt-BR" sz="1400" b="0" i="0" u="none" strike="noStrike" baseline="0"/>
              <a:t>£</a:t>
            </a:r>
            <a:r>
              <a:rPr lang="en-US" sz="1600"/>
              <a:t>)</a:t>
            </a:r>
          </a:p>
        </c:rich>
      </c:tx>
      <c:layout>
        <c:manualLayout>
          <c:xMode val="edge"/>
          <c:yMode val="edge"/>
          <c:x val="0.24912677109377995"/>
          <c:y val="8.094096461375546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3"/>
          </a:solidFill>
          <a:ln>
            <a:noFill/>
          </a:ln>
          <a:effectLst/>
        </c:spPr>
        <c:marker>
          <c:symbol val="none"/>
        </c:marker>
        <c:dLbl>
          <c:idx val="0"/>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Análises!$P$14:$P$15</c:f>
              <c:strCache>
                <c:ptCount val="1"/>
                <c:pt idx="0">
                  <c:v>Entrada</c:v>
                </c:pt>
              </c:strCache>
            </c:strRef>
          </c:tx>
          <c:spPr>
            <a:solidFill>
              <a:schemeClr val="accent3"/>
            </a:solidFill>
            <a:ln>
              <a:noFill/>
            </a:ln>
            <a:effectLst/>
          </c:spPr>
          <c:invertIfNegative val="0"/>
          <c:dLbls>
            <c:numFmt formatCode="[$£-8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Análises!$O$16:$O$19</c:f>
              <c:strCache>
                <c:ptCount val="3"/>
                <c:pt idx="0">
                  <c:v>Meio-campista</c:v>
                </c:pt>
                <c:pt idx="1">
                  <c:v>Atacante</c:v>
                </c:pt>
                <c:pt idx="2">
                  <c:v>Defensor</c:v>
                </c:pt>
              </c:strCache>
            </c:strRef>
          </c:cat>
          <c:val>
            <c:numRef>
              <c:f>Análises!$P$16:$P$19</c:f>
              <c:numCache>
                <c:formatCode>[$£-809]#,##0.00</c:formatCode>
                <c:ptCount val="3"/>
                <c:pt idx="0">
                  <c:v>213900000</c:v>
                </c:pt>
                <c:pt idx="1">
                  <c:v>200500000</c:v>
                </c:pt>
                <c:pt idx="2">
                  <c:v>138800000</c:v>
                </c:pt>
              </c:numCache>
            </c:numRef>
          </c:val>
          <c:extLst>
            <c:ext xmlns:c16="http://schemas.microsoft.com/office/drawing/2014/chart" uri="{C3380CC4-5D6E-409C-BE32-E72D297353CC}">
              <c16:uniqueId val="{00000000-DC21-4BC7-8EC9-C335B536B974}"/>
            </c:ext>
          </c:extLst>
        </c:ser>
        <c:dLbls>
          <c:showLegendKey val="0"/>
          <c:showVal val="0"/>
          <c:showCatName val="0"/>
          <c:showSerName val="0"/>
          <c:showPercent val="0"/>
          <c:showBubbleSize val="0"/>
        </c:dLbls>
        <c:gapWidth val="210"/>
        <c:axId val="67254543"/>
        <c:axId val="67257903"/>
      </c:barChart>
      <c:catAx>
        <c:axId val="67254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7257903"/>
        <c:crosses val="autoZero"/>
        <c:auto val="1"/>
        <c:lblAlgn val="ctr"/>
        <c:lblOffset val="100"/>
        <c:noMultiLvlLbl val="0"/>
      </c:catAx>
      <c:valAx>
        <c:axId val="67257903"/>
        <c:scaling>
          <c:orientation val="minMax"/>
        </c:scaling>
        <c:delete val="0"/>
        <c:axPos val="b"/>
        <c:numFmt formatCode="[$£-8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725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Distribuição</a:t>
            </a:r>
            <a:r>
              <a:rPr lang="en-US" baseline="0"/>
              <a:t> do Investimento em Porcentagem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Análises!$S$15</c:f>
              <c:strCache>
                <c:ptCount val="1"/>
                <c:pt idx="0">
                  <c:v>Porcentagem (%) do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E7-401C-9C6F-FAC5569D80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E7-401C-9C6F-FAC5569D80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E7-401C-9C6F-FAC5569D8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Análises!$R$16:$R$19</c15:sqref>
                  </c15:fullRef>
                </c:ext>
              </c:extLst>
              <c:f>Análises!$R$16:$R$18</c:f>
              <c:strCache>
                <c:ptCount val="3"/>
                <c:pt idx="0">
                  <c:v>Meio-campista</c:v>
                </c:pt>
                <c:pt idx="1">
                  <c:v>Atacante</c:v>
                </c:pt>
                <c:pt idx="2">
                  <c:v>Defensor</c:v>
                </c:pt>
              </c:strCache>
            </c:strRef>
          </c:cat>
          <c:val>
            <c:numRef>
              <c:extLst>
                <c:ext xmlns:c15="http://schemas.microsoft.com/office/drawing/2012/chart" uri="{02D57815-91ED-43cb-92C2-25804820EDAC}">
                  <c15:fullRef>
                    <c15:sqref>Análises!$S$16:$S$19</c15:sqref>
                  </c15:fullRef>
                </c:ext>
              </c:extLst>
              <c:f>Análises!$S$16:$S$18</c:f>
              <c:numCache>
                <c:formatCode>0.0%</c:formatCode>
                <c:ptCount val="3"/>
                <c:pt idx="0">
                  <c:v>0.3866594360086768</c:v>
                </c:pt>
                <c:pt idx="1">
                  <c:v>0.36243673174258856</c:v>
                </c:pt>
                <c:pt idx="2">
                  <c:v>0.25090383224873464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525E-4954-9D81-A75B41DC746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[tottenham_transferencias.xlsx]Análises!Tabela dinâmica3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Quantidade de Contratações por Faixa</a:t>
            </a:r>
            <a:r>
              <a:rPr lang="en-US" baseline="0"/>
              <a:t> Etária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Análises!$Z$14:$Z$15</c:f>
              <c:strCache>
                <c:ptCount val="1"/>
                <c:pt idx="0">
                  <c:v>Entrada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Análises!$Y$16:$Y$20</c:f>
              <c:strCache>
                <c:ptCount val="4"/>
                <c:pt idx="0">
                  <c:v>Muito Jovem (16-20 anos)</c:v>
                </c:pt>
                <c:pt idx="1">
                  <c:v>Veterano (31+ anos)</c:v>
                </c:pt>
                <c:pt idx="2">
                  <c:v>Experiente (26-30 anos)</c:v>
                </c:pt>
                <c:pt idx="3">
                  <c:v>Jovem (21-25 anos)</c:v>
                </c:pt>
              </c:strCache>
            </c:strRef>
          </c:cat>
          <c:val>
            <c:numRef>
              <c:f>Análises!$Z$16:$Z$20</c:f>
              <c:numCache>
                <c:formatCode>General</c:formatCode>
                <c:ptCount val="4"/>
                <c:pt idx="0">
                  <c:v>1</c:v>
                </c:pt>
                <c:pt idx="1">
                  <c:v>1</c:v>
                </c:pt>
                <c:pt idx="2">
                  <c:v>3</c:v>
                </c:pt>
                <c:pt idx="3">
                  <c:v>11</c:v>
                </c:pt>
              </c:numCache>
            </c:numRef>
          </c:val>
          <c:extLst>
            <c:ext xmlns:c16="http://schemas.microsoft.com/office/drawing/2014/chart" uri="{C3380CC4-5D6E-409C-BE32-E72D297353CC}">
              <c16:uniqueId val="{00000000-33A2-407E-819F-CD69739D33E5}"/>
            </c:ext>
          </c:extLst>
        </c:ser>
        <c:dLbls>
          <c:showLegendKey val="0"/>
          <c:showVal val="0"/>
          <c:showCatName val="0"/>
          <c:showSerName val="0"/>
          <c:showPercent val="0"/>
          <c:showBubbleSize val="0"/>
        </c:dLbls>
        <c:gapWidth val="130"/>
        <c:axId val="1871569328"/>
        <c:axId val="1871575088"/>
      </c:barChart>
      <c:catAx>
        <c:axId val="187156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71575088"/>
        <c:crosses val="autoZero"/>
        <c:auto val="1"/>
        <c:lblAlgn val="ctr"/>
        <c:lblOffset val="100"/>
        <c:noMultiLvlLbl val="0"/>
      </c:catAx>
      <c:valAx>
        <c:axId val="187157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7156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Distribuição das Contratações por</a:t>
            </a:r>
            <a:r>
              <a:rPr lang="en-US" baseline="0"/>
              <a:t> Faixa Etária (%) </a:t>
            </a:r>
            <a:endParaRPr lang="en-US"/>
          </a:p>
        </c:rich>
      </c:tx>
      <c:layout>
        <c:manualLayout>
          <c:xMode val="edge"/>
          <c:yMode val="edge"/>
          <c:x val="0.19742450851606"/>
          <c:y val="3.8593154911404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Análises!$AC$15</c:f>
              <c:strCache>
                <c:ptCount val="1"/>
                <c:pt idx="0">
                  <c:v>Porcentagem (% do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BE-470F-BC53-44DDC8150A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BE-470F-BC53-44DDC8150A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BE-470F-BC53-44DDC8150A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BE-470F-BC53-44DDC8150A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Análises!$AB$16:$AB$19</c:f>
              <c:strCache>
                <c:ptCount val="4"/>
                <c:pt idx="0">
                  <c:v>Muito Jovem (16-20 anos)</c:v>
                </c:pt>
                <c:pt idx="1">
                  <c:v>Veterano (31+ anos)</c:v>
                </c:pt>
                <c:pt idx="2">
                  <c:v>Experiente (26-30 anos)</c:v>
                </c:pt>
                <c:pt idx="3">
                  <c:v>Jovem (21-25 anos)</c:v>
                </c:pt>
              </c:strCache>
            </c:strRef>
          </c:cat>
          <c:val>
            <c:numRef>
              <c:f>Análises!$AC$16:$AC$19</c:f>
              <c:numCache>
                <c:formatCode>0%</c:formatCode>
                <c:ptCount val="4"/>
                <c:pt idx="0">
                  <c:v>6.25E-2</c:v>
                </c:pt>
                <c:pt idx="1">
                  <c:v>6.25E-2</c:v>
                </c:pt>
                <c:pt idx="2">
                  <c:v>0.1875</c:v>
                </c:pt>
                <c:pt idx="3">
                  <c:v>0.6875</c:v>
                </c:pt>
              </c:numCache>
            </c:numRef>
          </c:val>
          <c:extLst>
            <c:ext xmlns:c16="http://schemas.microsoft.com/office/drawing/2014/chart" uri="{C3380CC4-5D6E-409C-BE32-E72D297353CC}">
              <c16:uniqueId val="{00000000-9201-49E7-805C-B05D6A165F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[tottenham_transferencias.xlsx]Análises!Tabela dinâmica4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Quantidade de Contratações por Nacionalidade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Análises!$AL$14:$AL$15</c:f>
              <c:strCache>
                <c:ptCount val="1"/>
                <c:pt idx="0">
                  <c:v>Entrada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Análises!$AK$16:$AK$29</c:f>
              <c:strCache>
                <c:ptCount val="13"/>
                <c:pt idx="0">
                  <c:v>França</c:v>
                </c:pt>
                <c:pt idx="1">
                  <c:v>Uruguai</c:v>
                </c:pt>
                <c:pt idx="2">
                  <c:v>Argentina</c:v>
                </c:pt>
                <c:pt idx="3">
                  <c:v>Croácia</c:v>
                </c:pt>
                <c:pt idx="4">
                  <c:v>Irlanda</c:v>
                </c:pt>
                <c:pt idx="5">
                  <c:v>Espanha</c:v>
                </c:pt>
                <c:pt idx="6">
                  <c:v>Mali</c:v>
                </c:pt>
                <c:pt idx="7">
                  <c:v>Dinamarca</c:v>
                </c:pt>
                <c:pt idx="8">
                  <c:v>País De Gales</c:v>
                </c:pt>
                <c:pt idx="9">
                  <c:v>Brasil</c:v>
                </c:pt>
                <c:pt idx="10">
                  <c:v>Suécia</c:v>
                </c:pt>
                <c:pt idx="11">
                  <c:v>Holanda</c:v>
                </c:pt>
                <c:pt idx="12">
                  <c:v>Inglaterra</c:v>
                </c:pt>
              </c:strCache>
            </c:strRef>
          </c:cat>
          <c:val>
            <c:numRef>
              <c:f>Análises!$AL$16:$AL$29</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2</c:v>
                </c:pt>
                <c:pt idx="12">
                  <c:v>3</c:v>
                </c:pt>
              </c:numCache>
            </c:numRef>
          </c:val>
          <c:extLst>
            <c:ext xmlns:c16="http://schemas.microsoft.com/office/drawing/2014/chart" uri="{C3380CC4-5D6E-409C-BE32-E72D297353CC}">
              <c16:uniqueId val="{00000000-1A9E-4121-B54A-AF5CB949493C}"/>
            </c:ext>
          </c:extLst>
        </c:ser>
        <c:dLbls>
          <c:showLegendKey val="0"/>
          <c:showVal val="0"/>
          <c:showCatName val="0"/>
          <c:showSerName val="0"/>
          <c:showPercent val="0"/>
          <c:showBubbleSize val="0"/>
        </c:dLbls>
        <c:gapWidth val="80"/>
        <c:axId val="749467536"/>
        <c:axId val="749468976"/>
      </c:barChart>
      <c:catAx>
        <c:axId val="74946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49468976"/>
        <c:crosses val="autoZero"/>
        <c:auto val="1"/>
        <c:lblAlgn val="ctr"/>
        <c:lblOffset val="100"/>
        <c:noMultiLvlLbl val="0"/>
      </c:catAx>
      <c:valAx>
        <c:axId val="749468976"/>
        <c:scaling>
          <c:orientation val="minMax"/>
          <c:max val="3.5"/>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49467536"/>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Distribuição do Retorno Financeiro</a:t>
            </a:r>
            <a:r>
              <a:rPr lang="en-US" baseline="0"/>
              <a:t> por Posição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Análises!$BF$14</c:f>
              <c:strCache>
                <c:ptCount val="1"/>
                <c:pt idx="0">
                  <c:v>Porcentagem (%) do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8C-485D-B549-889B4687A9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8C-485D-B549-889B4687A9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8C-485D-B549-889B4687A9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Análises!$BE$15:$BE$17</c:f>
              <c:strCache>
                <c:ptCount val="3"/>
                <c:pt idx="0">
                  <c:v>Atacante</c:v>
                </c:pt>
                <c:pt idx="1">
                  <c:v>Meio-campista</c:v>
                </c:pt>
                <c:pt idx="2">
                  <c:v>Defensor</c:v>
                </c:pt>
              </c:strCache>
            </c:strRef>
          </c:cat>
          <c:val>
            <c:numRef>
              <c:f>Análises!$BF$15:$BF$17</c:f>
              <c:numCache>
                <c:formatCode>0.0%</c:formatCode>
                <c:ptCount val="3"/>
                <c:pt idx="0">
                  <c:v>0.70199999999999996</c:v>
                </c:pt>
                <c:pt idx="1">
                  <c:v>0.22500000000000001</c:v>
                </c:pt>
                <c:pt idx="2">
                  <c:v>7.1999999999999995E-2</c:v>
                </c:pt>
              </c:numCache>
            </c:numRef>
          </c:val>
          <c:extLst>
            <c:ext xmlns:c16="http://schemas.microsoft.com/office/drawing/2014/chart" uri="{C3380CC4-5D6E-409C-BE32-E72D297353CC}">
              <c16:uniqueId val="{00000000-087B-40FC-9013-FB8F2883DD0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Retorno Financeiro por Jogador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Anotações!$G$103</c:f>
              <c:strCache>
                <c:ptCount val="1"/>
                <c:pt idx="0">
                  <c:v>Soma do Valores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Anotações!$F$104:$F$108</c:f>
              <c:strCache>
                <c:ptCount val="5"/>
                <c:pt idx="0">
                  <c:v>Toby Alderweireld</c:v>
                </c:pt>
                <c:pt idx="1">
                  <c:v>Pierre-Emile Højbjerg</c:v>
                </c:pt>
                <c:pt idx="2">
                  <c:v>Christian Eriksen</c:v>
                </c:pt>
                <c:pt idx="3">
                  <c:v>Steven Bergwijn</c:v>
                </c:pt>
                <c:pt idx="4">
                  <c:v>Harry Kane</c:v>
                </c:pt>
              </c:strCache>
            </c:strRef>
          </c:cat>
          <c:val>
            <c:numRef>
              <c:f>Anotações!$G$104:$G$108</c:f>
              <c:numCache>
                <c:formatCode>[$£-809]#,##0.00</c:formatCode>
                <c:ptCount val="5"/>
                <c:pt idx="0">
                  <c:v>13000000</c:v>
                </c:pt>
                <c:pt idx="1">
                  <c:v>13500000</c:v>
                </c:pt>
                <c:pt idx="2">
                  <c:v>27000000</c:v>
                </c:pt>
                <c:pt idx="3">
                  <c:v>31300000</c:v>
                </c:pt>
                <c:pt idx="4">
                  <c:v>95000000</c:v>
                </c:pt>
              </c:numCache>
            </c:numRef>
          </c:val>
          <c:extLst>
            <c:ext xmlns:c16="http://schemas.microsoft.com/office/drawing/2014/chart" uri="{C3380CC4-5D6E-409C-BE32-E72D297353CC}">
              <c16:uniqueId val="{00000000-D253-422C-9D21-3B6A446490F4}"/>
            </c:ext>
          </c:extLst>
        </c:ser>
        <c:dLbls>
          <c:showLegendKey val="0"/>
          <c:showVal val="0"/>
          <c:showCatName val="0"/>
          <c:showSerName val="0"/>
          <c:showPercent val="0"/>
          <c:showBubbleSize val="0"/>
        </c:dLbls>
        <c:gapWidth val="182"/>
        <c:axId val="1430914512"/>
        <c:axId val="1356498096"/>
      </c:barChart>
      <c:catAx>
        <c:axId val="143091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56498096"/>
        <c:crosses val="autoZero"/>
        <c:auto val="1"/>
        <c:lblAlgn val="ctr"/>
        <c:lblOffset val="100"/>
        <c:noMultiLvlLbl val="0"/>
      </c:catAx>
      <c:valAx>
        <c:axId val="1356498096"/>
        <c:scaling>
          <c:orientation val="minMax"/>
        </c:scaling>
        <c:delete val="0"/>
        <c:axPos val="b"/>
        <c:numFmt formatCode="[$£-8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30914512"/>
        <c:crosses val="autoZero"/>
        <c:crossBetween val="between"/>
        <c:majorUnit val="13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www.transfermarkt.com.br" TargetMode="External"/><Relationship Id="rId2" Type="http://schemas.openxmlformats.org/officeDocument/2006/relationships/image" Target="../media/image2.jpg"/><Relationship Id="rId1" Type="http://schemas.openxmlformats.org/officeDocument/2006/relationships/image" Target="../media/image1.png"/><Relationship Id="rId4" Type="http://schemas.openxmlformats.org/officeDocument/2006/relationships/hyperlink" Target="https://www.sofascore.com" TargetMode="Externa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2</xdr:col>
      <xdr:colOff>149317</xdr:colOff>
      <xdr:row>1</xdr:row>
      <xdr:rowOff>2597</xdr:rowOff>
    </xdr:from>
    <xdr:ext cx="8835496" cy="405432"/>
    <xdr:sp macro="" textlink="">
      <xdr:nvSpPr>
        <xdr:cNvPr id="2" name="CaixaDeTexto 1">
          <a:extLst>
            <a:ext uri="{FF2B5EF4-FFF2-40B4-BE49-F238E27FC236}">
              <a16:creationId xmlns:a16="http://schemas.microsoft.com/office/drawing/2014/main" id="{F16D9131-B0A3-F0E7-827F-539C48FC9E0C}"/>
            </a:ext>
          </a:extLst>
        </xdr:cNvPr>
        <xdr:cNvSpPr txBox="1"/>
      </xdr:nvSpPr>
      <xdr:spPr>
        <a:xfrm>
          <a:off x="1368517" y="193097"/>
          <a:ext cx="883549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a:t>Análise Financeira das Transferências do Tottenham Hotspur (2019/20 - 2025/26)</a:t>
          </a:r>
        </a:p>
      </xdr:txBody>
    </xdr:sp>
    <xdr:clientData/>
  </xdr:oneCellAnchor>
  <xdr:oneCellAnchor>
    <xdr:from>
      <xdr:col>0</xdr:col>
      <xdr:colOff>60614</xdr:colOff>
      <xdr:row>3</xdr:row>
      <xdr:rowOff>129886</xdr:rowOff>
    </xdr:from>
    <xdr:ext cx="1255344" cy="327141"/>
    <xdr:sp macro="" textlink="">
      <xdr:nvSpPr>
        <xdr:cNvPr id="3" name="CaixaDeTexto 2">
          <a:extLst>
            <a:ext uri="{FF2B5EF4-FFF2-40B4-BE49-F238E27FC236}">
              <a16:creationId xmlns:a16="http://schemas.microsoft.com/office/drawing/2014/main" id="{BC7727EF-C1D5-58F7-6A00-6791417BC2E5}"/>
            </a:ext>
          </a:extLst>
        </xdr:cNvPr>
        <xdr:cNvSpPr txBox="1"/>
      </xdr:nvSpPr>
      <xdr:spPr>
        <a:xfrm>
          <a:off x="60614" y="714375"/>
          <a:ext cx="1255344"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1. Introdução</a:t>
          </a:r>
        </a:p>
      </xdr:txBody>
    </xdr:sp>
    <xdr:clientData/>
  </xdr:oneCellAnchor>
  <xdr:oneCellAnchor>
    <xdr:from>
      <xdr:col>0</xdr:col>
      <xdr:colOff>60612</xdr:colOff>
      <xdr:row>6</xdr:row>
      <xdr:rowOff>43296</xdr:rowOff>
    </xdr:from>
    <xdr:ext cx="12331413" cy="1219565"/>
    <xdr:sp macro="" textlink="">
      <xdr:nvSpPr>
        <xdr:cNvPr id="4" name="CaixaDeTexto 3">
          <a:extLst>
            <a:ext uri="{FF2B5EF4-FFF2-40B4-BE49-F238E27FC236}">
              <a16:creationId xmlns:a16="http://schemas.microsoft.com/office/drawing/2014/main" id="{5D370021-CD04-67C3-5959-C83BAFFB0CE5}"/>
            </a:ext>
          </a:extLst>
        </xdr:cNvPr>
        <xdr:cNvSpPr txBox="1"/>
      </xdr:nvSpPr>
      <xdr:spPr>
        <a:xfrm>
          <a:off x="60612" y="1186296"/>
          <a:ext cx="12331413" cy="121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O </a:t>
          </a:r>
          <a:r>
            <a:rPr lang="pt-BR" sz="1200" b="1"/>
            <a:t>Tottenham Hotspur </a:t>
          </a:r>
          <a:r>
            <a:rPr lang="pt-BR" sz="1200" b="0"/>
            <a:t>é um clube</a:t>
          </a:r>
          <a:r>
            <a:rPr lang="pt-BR" sz="1200" b="0" baseline="0"/>
            <a:t> profissional de futebol fundado em 1882, localizado em Londres, Inglaterra. Reconhecido historicamente por sua tradição no futebol inglês, o clube participa da </a:t>
          </a:r>
          <a:r>
            <a:rPr lang="pt-BR" sz="1200" b="1" baseline="0"/>
            <a:t>Premier League</a:t>
          </a:r>
          <a:r>
            <a:rPr lang="pt-BR" sz="1200" b="0" baseline="0"/>
            <a:t>, uma das ligas esportivas mais valiosas e competitivas do mundo.</a:t>
          </a:r>
        </a:p>
        <a:p>
          <a:pPr algn="l"/>
          <a:r>
            <a:rPr lang="pt-BR" sz="1200" b="0" baseline="0"/>
            <a:t>	Nas últimas temporadas, o Tottenham passou por importantes mudanças esportivas e financeiras, incluindo elevados investimentos no mercado de transferências, reformulação do elenco e negociações de grande impacto financeiro, como a venda de atletas estratégicos e a contratação de jogadores jovens com potencial de valorização.</a:t>
          </a:r>
        </a:p>
        <a:p>
          <a:pPr algn="l"/>
          <a:r>
            <a:rPr lang="pt-BR" sz="1200" b="0" baseline="0"/>
            <a:t>	Nesse contexto, o mercado de transferências tornou-se um dos principais pilares da gestão esportiva moderna, exigindo análises cada vez mais detalhadas sobre investimentos, vendas de jogadores e sustentabilidade financeira.</a:t>
          </a:r>
        </a:p>
      </xdr:txBody>
    </xdr:sp>
    <xdr:clientData/>
  </xdr:oneCellAnchor>
  <xdr:twoCellAnchor editAs="oneCell">
    <xdr:from>
      <xdr:col>2</xdr:col>
      <xdr:colOff>424297</xdr:colOff>
      <xdr:row>15</xdr:row>
      <xdr:rowOff>0</xdr:rowOff>
    </xdr:from>
    <xdr:to>
      <xdr:col>5</xdr:col>
      <xdr:colOff>595151</xdr:colOff>
      <xdr:row>36</xdr:row>
      <xdr:rowOff>99869</xdr:rowOff>
    </xdr:to>
    <xdr:pic>
      <xdr:nvPicPr>
        <xdr:cNvPr id="6" name="Imagem 5">
          <a:extLst>
            <a:ext uri="{FF2B5EF4-FFF2-40B4-BE49-F238E27FC236}">
              <a16:creationId xmlns:a16="http://schemas.microsoft.com/office/drawing/2014/main" id="{2537A6D7-BCAE-5EA4-9F35-2551E09335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7455" y="2757237"/>
          <a:ext cx="1975591" cy="3960000"/>
        </a:xfrm>
        <a:prstGeom prst="rect">
          <a:avLst/>
        </a:prstGeom>
      </xdr:spPr>
    </xdr:pic>
    <xdr:clientData/>
  </xdr:twoCellAnchor>
  <xdr:twoCellAnchor editAs="oneCell">
    <xdr:from>
      <xdr:col>7</xdr:col>
      <xdr:colOff>602250</xdr:colOff>
      <xdr:row>14</xdr:row>
      <xdr:rowOff>113835</xdr:rowOff>
    </xdr:from>
    <xdr:to>
      <xdr:col>16</xdr:col>
      <xdr:colOff>471604</xdr:colOff>
      <xdr:row>35</xdr:row>
      <xdr:rowOff>177363</xdr:rowOff>
    </xdr:to>
    <xdr:pic>
      <xdr:nvPicPr>
        <xdr:cNvPr id="7" name="Imagem 6">
          <a:extLst>
            <a:ext uri="{FF2B5EF4-FFF2-40B4-BE49-F238E27FC236}">
              <a16:creationId xmlns:a16="http://schemas.microsoft.com/office/drawing/2014/main" id="{26EF4C72-DA2F-9572-BF40-30CA6DE32D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88500" y="2733210"/>
          <a:ext cx="5380247" cy="3992591"/>
        </a:xfrm>
        <a:prstGeom prst="rect">
          <a:avLst/>
        </a:prstGeom>
        <a:effectLst>
          <a:softEdge rad="25400"/>
        </a:effectLst>
      </xdr:spPr>
    </xdr:pic>
    <xdr:clientData/>
  </xdr:twoCellAnchor>
  <xdr:oneCellAnchor>
    <xdr:from>
      <xdr:col>2</xdr:col>
      <xdr:colOff>297655</xdr:colOff>
      <xdr:row>37</xdr:row>
      <xdr:rowOff>51027</xdr:rowOff>
    </xdr:from>
    <xdr:ext cx="2289858" cy="264560"/>
    <xdr:sp macro="" textlink="">
      <xdr:nvSpPr>
        <xdr:cNvPr id="8" name="CaixaDeTexto 7">
          <a:extLst>
            <a:ext uri="{FF2B5EF4-FFF2-40B4-BE49-F238E27FC236}">
              <a16:creationId xmlns:a16="http://schemas.microsoft.com/office/drawing/2014/main" id="{BB783D0A-3520-A8FE-81DB-C9BEB8E65D78}"/>
            </a:ext>
          </a:extLst>
        </xdr:cNvPr>
        <xdr:cNvSpPr txBox="1"/>
      </xdr:nvSpPr>
      <xdr:spPr>
        <a:xfrm>
          <a:off x="1522298" y="6973661"/>
          <a:ext cx="22898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pt-BR" sz="1100" i="1"/>
            <a:t>Escudo atual do Tottenham Hotspur</a:t>
          </a:r>
        </a:p>
      </xdr:txBody>
    </xdr:sp>
    <xdr:clientData/>
  </xdr:oneCellAnchor>
  <xdr:oneCellAnchor>
    <xdr:from>
      <xdr:col>8</xdr:col>
      <xdr:colOff>603817</xdr:colOff>
      <xdr:row>37</xdr:row>
      <xdr:rowOff>25513</xdr:rowOff>
    </xdr:from>
    <xdr:ext cx="3739485" cy="264560"/>
    <xdr:sp macro="" textlink="">
      <xdr:nvSpPr>
        <xdr:cNvPr id="9" name="CaixaDeTexto 8">
          <a:extLst>
            <a:ext uri="{FF2B5EF4-FFF2-40B4-BE49-F238E27FC236}">
              <a16:creationId xmlns:a16="http://schemas.microsoft.com/office/drawing/2014/main" id="{67C620EE-9B7E-6468-8F23-6D3ADB66F364}"/>
            </a:ext>
          </a:extLst>
        </xdr:cNvPr>
        <xdr:cNvSpPr txBox="1"/>
      </xdr:nvSpPr>
      <xdr:spPr>
        <a:xfrm>
          <a:off x="5502388" y="6948147"/>
          <a:ext cx="3739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pt-BR" sz="1100" i="1"/>
            <a:t>Tottenham Hotspur Stadium,</a:t>
          </a:r>
          <a:r>
            <a:rPr lang="pt-BR" sz="1100" i="1" baseline="0"/>
            <a:t> atual estádio da equipe londrina</a:t>
          </a:r>
          <a:endParaRPr lang="pt-BR" sz="1100" i="1"/>
        </a:p>
      </xdr:txBody>
    </xdr:sp>
    <xdr:clientData/>
  </xdr:oneCellAnchor>
  <xdr:oneCellAnchor>
    <xdr:from>
      <xdr:col>0</xdr:col>
      <xdr:colOff>108659</xdr:colOff>
      <xdr:row>39</xdr:row>
      <xdr:rowOff>83622</xdr:rowOff>
    </xdr:from>
    <xdr:ext cx="1948482" cy="327141"/>
    <xdr:sp macro="" textlink="">
      <xdr:nvSpPr>
        <xdr:cNvPr id="10" name="CaixaDeTexto 9">
          <a:extLst>
            <a:ext uri="{FF2B5EF4-FFF2-40B4-BE49-F238E27FC236}">
              <a16:creationId xmlns:a16="http://schemas.microsoft.com/office/drawing/2014/main" id="{3B639A6B-6503-407B-8B08-590395381102}"/>
            </a:ext>
          </a:extLst>
        </xdr:cNvPr>
        <xdr:cNvSpPr txBox="1"/>
      </xdr:nvSpPr>
      <xdr:spPr>
        <a:xfrm>
          <a:off x="108659" y="7513122"/>
          <a:ext cx="1948482"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2. Objetivo do Projeto</a:t>
          </a:r>
        </a:p>
      </xdr:txBody>
    </xdr:sp>
    <xdr:clientData/>
  </xdr:oneCellAnchor>
  <xdr:oneCellAnchor>
    <xdr:from>
      <xdr:col>0</xdr:col>
      <xdr:colOff>224646</xdr:colOff>
      <xdr:row>41</xdr:row>
      <xdr:rowOff>143774</xdr:rowOff>
    </xdr:from>
    <xdr:ext cx="12148329" cy="655949"/>
    <xdr:sp macro="" textlink="">
      <xdr:nvSpPr>
        <xdr:cNvPr id="11" name="CaixaDeTexto 10">
          <a:extLst>
            <a:ext uri="{FF2B5EF4-FFF2-40B4-BE49-F238E27FC236}">
              <a16:creationId xmlns:a16="http://schemas.microsoft.com/office/drawing/2014/main" id="{0F6DB5F7-4374-4779-B699-DD037B1E2E2E}"/>
            </a:ext>
          </a:extLst>
        </xdr:cNvPr>
        <xdr:cNvSpPr txBox="1"/>
      </xdr:nvSpPr>
      <xdr:spPr>
        <a:xfrm>
          <a:off x="224646" y="7954274"/>
          <a:ext cx="12148329"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Este projeto tem</a:t>
          </a:r>
          <a:r>
            <a:rPr lang="pt-BR" sz="1200" baseline="0"/>
            <a:t> como principal objetivo </a:t>
          </a:r>
          <a:r>
            <a:rPr lang="pt-BR" sz="1200" b="1" baseline="0"/>
            <a:t>analisar o comportamento financeiro</a:t>
          </a:r>
          <a:r>
            <a:rPr lang="pt-BR" sz="1200" b="0" baseline="0"/>
            <a:t> do Tottenham Hotspur no mercado de transferências entre as temporadas de 2019/20 e 2025/26, utilizando técnicas de limpeza, tratamento, exploração e visualização de dados.</a:t>
          </a:r>
        </a:p>
        <a:p>
          <a:pPr algn="l"/>
          <a:r>
            <a:rPr lang="pt-BR" sz="1200" b="0" baseline="0"/>
            <a:t>	A análise busca identificar padrões de investimento, tendências de mercado e possíveis estratégias adotadas pelo clube ao longo dos anos.</a:t>
          </a:r>
        </a:p>
      </xdr:txBody>
    </xdr:sp>
    <xdr:clientData/>
  </xdr:oneCellAnchor>
  <xdr:oneCellAnchor>
    <xdr:from>
      <xdr:col>0</xdr:col>
      <xdr:colOff>102895</xdr:colOff>
      <xdr:row>45</xdr:row>
      <xdr:rowOff>169347</xdr:rowOff>
    </xdr:from>
    <xdr:ext cx="2169569" cy="327141"/>
    <xdr:sp macro="" textlink="">
      <xdr:nvSpPr>
        <xdr:cNvPr id="12" name="CaixaDeTexto 11">
          <a:extLst>
            <a:ext uri="{FF2B5EF4-FFF2-40B4-BE49-F238E27FC236}">
              <a16:creationId xmlns:a16="http://schemas.microsoft.com/office/drawing/2014/main" id="{AB74C15D-C02A-4A02-84DD-B99CDAECFF78}"/>
            </a:ext>
          </a:extLst>
        </xdr:cNvPr>
        <xdr:cNvSpPr txBox="1"/>
      </xdr:nvSpPr>
      <xdr:spPr>
        <a:xfrm>
          <a:off x="102895" y="8741847"/>
          <a:ext cx="216956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3. Problemas do</a:t>
          </a:r>
          <a:r>
            <a:rPr lang="pt-BR" sz="1500" b="1" baseline="0"/>
            <a:t> Negócio</a:t>
          </a:r>
          <a:endParaRPr lang="pt-BR" sz="1500" b="1"/>
        </a:p>
      </xdr:txBody>
    </xdr:sp>
    <xdr:clientData/>
  </xdr:oneCellAnchor>
  <xdr:oneCellAnchor>
    <xdr:from>
      <xdr:col>0</xdr:col>
      <xdr:colOff>215121</xdr:colOff>
      <xdr:row>47</xdr:row>
      <xdr:rowOff>181874</xdr:rowOff>
    </xdr:from>
    <xdr:ext cx="12148329" cy="1595309"/>
    <xdr:sp macro="" textlink="">
      <xdr:nvSpPr>
        <xdr:cNvPr id="13" name="CaixaDeTexto 12">
          <a:extLst>
            <a:ext uri="{FF2B5EF4-FFF2-40B4-BE49-F238E27FC236}">
              <a16:creationId xmlns:a16="http://schemas.microsoft.com/office/drawing/2014/main" id="{79AD57C6-179F-4617-A9FA-C1D323C83959}"/>
            </a:ext>
          </a:extLst>
        </xdr:cNvPr>
        <xdr:cNvSpPr txBox="1"/>
      </xdr:nvSpPr>
      <xdr:spPr>
        <a:xfrm>
          <a:off x="215121" y="9135374"/>
          <a:ext cx="12148329" cy="1595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Durante a análise, serão investigadas algumas questões estratégicas relacionadas à</a:t>
          </a:r>
          <a:r>
            <a:rPr lang="pt-BR" sz="1200" baseline="0"/>
            <a:t> gestão financeira e esportiva do clube:</a:t>
          </a:r>
        </a:p>
        <a:p>
          <a:pPr algn="l"/>
          <a:endParaRPr lang="pt-BR" sz="1200" b="0" baseline="0"/>
        </a:p>
        <a:p>
          <a:pPr algn="l"/>
          <a:r>
            <a:rPr lang="pt-BR" sz="1200"/>
            <a:t>• </a:t>
          </a:r>
          <a:r>
            <a:rPr lang="pt-BR" sz="1200" b="1"/>
            <a:t>O Tottenham apresentou lucro ou prejuízo no mercado de transferências</a:t>
          </a:r>
          <a:r>
            <a:rPr lang="pt-BR" sz="1200" b="1" baseline="0"/>
            <a:t> ao longo das temporadas?</a:t>
          </a:r>
        </a:p>
        <a:p>
          <a:pPr algn="l"/>
          <a:r>
            <a:rPr lang="pt-BR" sz="1200"/>
            <a:t>• </a:t>
          </a:r>
          <a:r>
            <a:rPr lang="pt-BR" sz="1200" b="1"/>
            <a:t>Quais</a:t>
          </a:r>
          <a:r>
            <a:rPr lang="pt-BR" sz="1200" b="1" baseline="0"/>
            <a:t> posições receberam maior volume de investimento?</a:t>
          </a:r>
        </a:p>
        <a:p>
          <a:pPr algn="l"/>
          <a:r>
            <a:rPr lang="pt-BR" sz="1200"/>
            <a:t>• </a:t>
          </a:r>
          <a:r>
            <a:rPr lang="pt-BR" sz="1200" b="1"/>
            <a:t>O</a:t>
          </a:r>
          <a:r>
            <a:rPr lang="pt-BR" sz="1200" b="1" baseline="0"/>
            <a:t> clube priorizou jogadores jovens ou atletas mais experientes?</a:t>
          </a:r>
        </a:p>
        <a:p>
          <a:pPr algn="l"/>
          <a:r>
            <a:rPr lang="pt-BR" sz="1200" b="0"/>
            <a:t>•</a:t>
          </a:r>
          <a:r>
            <a:rPr lang="pt-BR" sz="1200" b="1"/>
            <a:t> Existe um padrão</a:t>
          </a:r>
          <a:r>
            <a:rPr lang="pt-BR" sz="1200" b="1" baseline="0"/>
            <a:t> de nacionalidades nas contratações realizadas pelo Tottenham Hotspur?</a:t>
          </a:r>
        </a:p>
        <a:p>
          <a:pPr algn="l"/>
          <a:r>
            <a:rPr lang="pt-BR" sz="1200" b="0"/>
            <a:t>•</a:t>
          </a:r>
          <a:r>
            <a:rPr lang="pt-BR" sz="1200" b="1"/>
            <a:t> Qual</a:t>
          </a:r>
          <a:r>
            <a:rPr lang="pt-BR" sz="1200" b="1" baseline="0"/>
            <a:t> posições geraram maior retorno financeiro ao clube?</a:t>
          </a:r>
          <a:endParaRPr lang="pt-BR" sz="1200" b="1"/>
        </a:p>
        <a:p>
          <a:pPr algn="l"/>
          <a:r>
            <a:rPr lang="pt-BR" sz="1200" b="0"/>
            <a:t>•</a:t>
          </a:r>
          <a:r>
            <a:rPr lang="pt-BR" sz="1200" b="1"/>
            <a:t> Quais características definiram a estratégia do Tottenham</a:t>
          </a:r>
          <a:r>
            <a:rPr lang="pt-BR" sz="1200" b="1" baseline="0"/>
            <a:t> Hotspur no mercado de transferências entre as temporadas 2019/20 e 2024/25</a:t>
          </a:r>
          <a:r>
            <a:rPr lang="pt-BR" sz="1200" b="1"/>
            <a:t>?</a:t>
          </a:r>
          <a:endParaRPr lang="pt-BR" sz="1200" b="1" baseline="0"/>
        </a:p>
      </xdr:txBody>
    </xdr:sp>
    <xdr:clientData/>
  </xdr:oneCellAnchor>
  <xdr:oneCellAnchor>
    <xdr:from>
      <xdr:col>0</xdr:col>
      <xdr:colOff>155690</xdr:colOff>
      <xdr:row>58</xdr:row>
      <xdr:rowOff>131247</xdr:rowOff>
    </xdr:from>
    <xdr:ext cx="1968744" cy="327141"/>
    <xdr:sp macro="" textlink="">
      <xdr:nvSpPr>
        <xdr:cNvPr id="14" name="CaixaDeTexto 13">
          <a:extLst>
            <a:ext uri="{FF2B5EF4-FFF2-40B4-BE49-F238E27FC236}">
              <a16:creationId xmlns:a16="http://schemas.microsoft.com/office/drawing/2014/main" id="{C8C0B1B2-3A34-4D73-9A18-CB06CE852679}"/>
            </a:ext>
          </a:extLst>
        </xdr:cNvPr>
        <xdr:cNvSpPr txBox="1"/>
      </xdr:nvSpPr>
      <xdr:spPr>
        <a:xfrm>
          <a:off x="155690" y="11180247"/>
          <a:ext cx="1968744"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4. Objetivos</a:t>
          </a:r>
          <a:r>
            <a:rPr lang="pt-BR" sz="1500" b="1" baseline="0"/>
            <a:t> Analíticos</a:t>
          </a:r>
          <a:endParaRPr lang="pt-BR" sz="1500" b="1"/>
        </a:p>
      </xdr:txBody>
    </xdr:sp>
    <xdr:clientData/>
  </xdr:oneCellAnchor>
  <xdr:oneCellAnchor>
    <xdr:from>
      <xdr:col>0</xdr:col>
      <xdr:colOff>157971</xdr:colOff>
      <xdr:row>61</xdr:row>
      <xdr:rowOff>31515</xdr:rowOff>
    </xdr:from>
    <xdr:ext cx="12148329" cy="1783180"/>
    <xdr:sp macro="" textlink="">
      <xdr:nvSpPr>
        <xdr:cNvPr id="15" name="CaixaDeTexto 14">
          <a:extLst>
            <a:ext uri="{FF2B5EF4-FFF2-40B4-BE49-F238E27FC236}">
              <a16:creationId xmlns:a16="http://schemas.microsoft.com/office/drawing/2014/main" id="{C138AC39-12F5-4772-B45A-AF48518A71D9}"/>
            </a:ext>
          </a:extLst>
        </xdr:cNvPr>
        <xdr:cNvSpPr txBox="1"/>
      </xdr:nvSpPr>
      <xdr:spPr>
        <a:xfrm>
          <a:off x="157971" y="11652015"/>
          <a:ext cx="12148329" cy="1783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Para responder às questões propostas,</a:t>
          </a:r>
          <a:r>
            <a:rPr lang="pt-BR" sz="1200" baseline="0"/>
            <a:t> o projeto realizará:</a:t>
          </a:r>
        </a:p>
        <a:p>
          <a:pPr algn="l"/>
          <a:endParaRPr lang="pt-BR" sz="1200" b="0" baseline="0"/>
        </a:p>
        <a:p>
          <a:pPr algn="l"/>
          <a:r>
            <a:rPr lang="pt-BR" sz="1200" b="0"/>
            <a:t>• Limpeza e padronização dos dados;</a:t>
          </a:r>
          <a:endParaRPr lang="pt-BR" sz="1200" b="0" baseline="0"/>
        </a:p>
        <a:p>
          <a:pPr algn="l"/>
          <a:r>
            <a:rPr lang="pt-BR" sz="1200" b="0"/>
            <a:t>• Tratamento de inconsistências e valores ausentes;</a:t>
          </a:r>
          <a:endParaRPr lang="pt-BR" sz="1200" b="0" baseline="0"/>
        </a:p>
        <a:p>
          <a:pPr algn="l"/>
          <a:r>
            <a:rPr lang="pt-BR" sz="1200" b="0"/>
            <a:t>• Conversão e normalização de valores financeiros;</a:t>
          </a:r>
          <a:endParaRPr lang="pt-BR" sz="1200" b="0" baseline="0"/>
        </a:p>
        <a:p>
          <a:pPr algn="l"/>
          <a:r>
            <a:rPr lang="pt-BR" sz="1200" b="0"/>
            <a:t>• Criação de indicadores financeiros;</a:t>
          </a:r>
          <a:endParaRPr lang="pt-BR" sz="1200" b="0" baseline="0"/>
        </a:p>
        <a:p>
          <a:pPr algn="l"/>
          <a:r>
            <a:rPr lang="pt-BR" sz="1200" b="0"/>
            <a:t>• Análise exploratória das transferências;</a:t>
          </a:r>
        </a:p>
        <a:p>
          <a:pPr algn="l"/>
          <a:r>
            <a:rPr lang="pt-BR" sz="1200" b="0"/>
            <a:t>• Construção</a:t>
          </a:r>
          <a:r>
            <a:rPr lang="pt-BR" sz="1200" b="0" baseline="0"/>
            <a:t> de visualizações e dashboards interativos;</a:t>
          </a:r>
        </a:p>
        <a:p>
          <a:pPr algn="l"/>
          <a:r>
            <a:rPr lang="pt-BR" sz="1200" b="0"/>
            <a:t>• Geração de insights financeiros e estratégicos</a:t>
          </a:r>
          <a:endParaRPr lang="pt-BR" sz="1200" b="0" baseline="0"/>
        </a:p>
      </xdr:txBody>
    </xdr:sp>
    <xdr:clientData/>
  </xdr:oneCellAnchor>
  <xdr:oneCellAnchor>
    <xdr:from>
      <xdr:col>0</xdr:col>
      <xdr:colOff>191230</xdr:colOff>
      <xdr:row>71</xdr:row>
      <xdr:rowOff>183202</xdr:rowOff>
    </xdr:from>
    <xdr:ext cx="1782219" cy="327141"/>
    <xdr:sp macro="" textlink="">
      <xdr:nvSpPr>
        <xdr:cNvPr id="16" name="CaixaDeTexto 15">
          <a:extLst>
            <a:ext uri="{FF2B5EF4-FFF2-40B4-BE49-F238E27FC236}">
              <a16:creationId xmlns:a16="http://schemas.microsoft.com/office/drawing/2014/main" id="{3ACB6205-4CFC-421C-9819-82281BA4ECD7}"/>
            </a:ext>
          </a:extLst>
        </xdr:cNvPr>
        <xdr:cNvSpPr txBox="1"/>
      </xdr:nvSpPr>
      <xdr:spPr>
        <a:xfrm>
          <a:off x="191230" y="13503770"/>
          <a:ext cx="1782219"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5. Fontes dos Dados</a:t>
          </a:r>
        </a:p>
      </xdr:txBody>
    </xdr:sp>
    <xdr:clientData/>
  </xdr:oneCellAnchor>
  <xdr:oneCellAnchor>
    <xdr:from>
      <xdr:col>0</xdr:col>
      <xdr:colOff>148252</xdr:colOff>
      <xdr:row>74</xdr:row>
      <xdr:rowOff>134541</xdr:rowOff>
    </xdr:from>
    <xdr:ext cx="12148329" cy="280205"/>
    <xdr:sp macro="" textlink="">
      <xdr:nvSpPr>
        <xdr:cNvPr id="17" name="CaixaDeTexto 16">
          <a:extLst>
            <a:ext uri="{FF2B5EF4-FFF2-40B4-BE49-F238E27FC236}">
              <a16:creationId xmlns:a16="http://schemas.microsoft.com/office/drawing/2014/main" id="{77602AAC-4522-4B59-8F8C-9398EBE18384}"/>
            </a:ext>
          </a:extLst>
        </xdr:cNvPr>
        <xdr:cNvSpPr txBox="1"/>
      </xdr:nvSpPr>
      <xdr:spPr>
        <a:xfrm>
          <a:off x="148252" y="14519235"/>
          <a:ext cx="121483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Os dados utilizados neste projeto foram</a:t>
          </a:r>
          <a:r>
            <a:rPr lang="pt-BR" sz="1200" baseline="0"/>
            <a:t> obtidos por meio de plataformas públicas especializadas em futebol e mercado esportivo:</a:t>
          </a:r>
          <a:endParaRPr lang="pt-BR" sz="1200" b="0" baseline="0"/>
        </a:p>
      </xdr:txBody>
    </xdr:sp>
    <xdr:clientData/>
  </xdr:oneCellAnchor>
  <xdr:oneCellAnchor>
    <xdr:from>
      <xdr:col>0</xdr:col>
      <xdr:colOff>184669</xdr:colOff>
      <xdr:row>76</xdr:row>
      <xdr:rowOff>165230</xdr:rowOff>
    </xdr:from>
    <xdr:ext cx="1229760" cy="280205"/>
    <xdr:sp macro="" textlink="">
      <xdr:nvSpPr>
        <xdr:cNvPr id="18" name="CaixaDeTexto 17">
          <a:hlinkClick xmlns:r="http://schemas.openxmlformats.org/officeDocument/2006/relationships" r:id="rId3"/>
          <a:extLst>
            <a:ext uri="{FF2B5EF4-FFF2-40B4-BE49-F238E27FC236}">
              <a16:creationId xmlns:a16="http://schemas.microsoft.com/office/drawing/2014/main" id="{4430E003-D00A-AF1C-8F35-41DEE617166C}"/>
            </a:ext>
          </a:extLst>
        </xdr:cNvPr>
        <xdr:cNvSpPr txBox="1"/>
      </xdr:nvSpPr>
      <xdr:spPr>
        <a:xfrm>
          <a:off x="184669" y="14938699"/>
          <a:ext cx="12297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pt-BR" sz="1200" b="0">
              <a:solidFill>
                <a:schemeClr val="tx1"/>
              </a:solidFill>
              <a:effectLst/>
              <a:latin typeface="+mn-lt"/>
              <a:ea typeface="+mn-ea"/>
              <a:cs typeface="+mn-cs"/>
            </a:rPr>
            <a:t>• </a:t>
          </a:r>
          <a:r>
            <a:rPr lang="pt-BR" sz="1200" b="0" u="sng">
              <a:solidFill>
                <a:schemeClr val="tx1"/>
              </a:solidFill>
              <a:effectLst/>
              <a:latin typeface="+mn-lt"/>
              <a:ea typeface="+mn-ea"/>
              <a:cs typeface="+mn-cs"/>
            </a:rPr>
            <a:t>Transfermarkt;</a:t>
          </a:r>
          <a:endParaRPr lang="pt-BR" sz="1200" u="sng">
            <a:effectLst/>
          </a:endParaRPr>
        </a:p>
      </xdr:txBody>
    </xdr:sp>
    <xdr:clientData/>
  </xdr:oneCellAnchor>
  <xdr:oneCellAnchor>
    <xdr:from>
      <xdr:col>0</xdr:col>
      <xdr:colOff>181559</xdr:colOff>
      <xdr:row>78</xdr:row>
      <xdr:rowOff>16327</xdr:rowOff>
    </xdr:from>
    <xdr:ext cx="905376" cy="280205"/>
    <xdr:sp macro="" textlink="">
      <xdr:nvSpPr>
        <xdr:cNvPr id="19" name="CaixaDeTexto 18">
          <a:hlinkClick xmlns:r="http://schemas.openxmlformats.org/officeDocument/2006/relationships" r:id="rId4"/>
          <a:extLst>
            <a:ext uri="{FF2B5EF4-FFF2-40B4-BE49-F238E27FC236}">
              <a16:creationId xmlns:a16="http://schemas.microsoft.com/office/drawing/2014/main" id="{A390E617-8C79-4F82-B598-BC446ECCA7EA}"/>
            </a:ext>
          </a:extLst>
        </xdr:cNvPr>
        <xdr:cNvSpPr txBox="1"/>
      </xdr:nvSpPr>
      <xdr:spPr>
        <a:xfrm>
          <a:off x="181559" y="15178572"/>
          <a:ext cx="90537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pt-BR" sz="1200" b="0">
              <a:solidFill>
                <a:schemeClr val="tx1"/>
              </a:solidFill>
              <a:effectLst/>
              <a:latin typeface="+mn-lt"/>
              <a:ea typeface="+mn-ea"/>
              <a:cs typeface="+mn-cs"/>
            </a:rPr>
            <a:t>• </a:t>
          </a:r>
          <a:r>
            <a:rPr lang="pt-BR" sz="1200" b="0" u="sng">
              <a:solidFill>
                <a:schemeClr val="tx1"/>
              </a:solidFill>
              <a:effectLst/>
              <a:latin typeface="+mn-lt"/>
              <a:ea typeface="+mn-ea"/>
              <a:cs typeface="+mn-cs"/>
            </a:rPr>
            <a:t>Sofascore</a:t>
          </a:r>
        </a:p>
      </xdr:txBody>
    </xdr:sp>
    <xdr:clientData/>
  </xdr:oneCellAnchor>
  <xdr:oneCellAnchor>
    <xdr:from>
      <xdr:col>0</xdr:col>
      <xdr:colOff>163195</xdr:colOff>
      <xdr:row>80</xdr:row>
      <xdr:rowOff>149331</xdr:rowOff>
    </xdr:from>
    <xdr:ext cx="2363147" cy="327141"/>
    <xdr:sp macro="" textlink="">
      <xdr:nvSpPr>
        <xdr:cNvPr id="5" name="CaixaDeTexto 4">
          <a:extLst>
            <a:ext uri="{FF2B5EF4-FFF2-40B4-BE49-F238E27FC236}">
              <a16:creationId xmlns:a16="http://schemas.microsoft.com/office/drawing/2014/main" id="{CB7CF3C1-5A5B-47AD-B411-E2EA1B874DCC}"/>
            </a:ext>
          </a:extLst>
        </xdr:cNvPr>
        <xdr:cNvSpPr txBox="1"/>
      </xdr:nvSpPr>
      <xdr:spPr>
        <a:xfrm>
          <a:off x="163195" y="15700351"/>
          <a:ext cx="2363147"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6. Apresentação do Projeto</a:t>
          </a:r>
        </a:p>
      </xdr:txBody>
    </xdr:sp>
    <xdr:clientData/>
  </xdr:oneCellAnchor>
  <xdr:oneCellAnchor>
    <xdr:from>
      <xdr:col>0</xdr:col>
      <xdr:colOff>97194</xdr:colOff>
      <xdr:row>83</xdr:row>
      <xdr:rowOff>77755</xdr:rowOff>
    </xdr:from>
    <xdr:ext cx="12148329" cy="2534668"/>
    <xdr:sp macro="" textlink="">
      <xdr:nvSpPr>
        <xdr:cNvPr id="20" name="CaixaDeTexto 19">
          <a:extLst>
            <a:ext uri="{FF2B5EF4-FFF2-40B4-BE49-F238E27FC236}">
              <a16:creationId xmlns:a16="http://schemas.microsoft.com/office/drawing/2014/main" id="{79617BDE-CDDA-4EE1-868A-B05F9C3521DB}"/>
            </a:ext>
          </a:extLst>
        </xdr:cNvPr>
        <xdr:cNvSpPr txBox="1"/>
      </xdr:nvSpPr>
      <xdr:spPr>
        <a:xfrm>
          <a:off x="97194" y="15889255"/>
          <a:ext cx="12148329" cy="25346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Este projeto contará</a:t>
          </a:r>
          <a:r>
            <a:rPr lang="pt-BR" sz="1200" baseline="0"/>
            <a:t> com o total de 6 abas, cada uma representando uma etapa diferente. São elas:</a:t>
          </a:r>
          <a:endParaRPr lang="pt-BR" sz="1200" b="0" baseline="0"/>
        </a:p>
        <a:p>
          <a:pPr algn="l"/>
          <a:endParaRPr lang="pt-BR" sz="1200" b="0" baseline="0"/>
        </a:p>
        <a:p>
          <a:pPr algn="l"/>
          <a:r>
            <a:rPr lang="pt-BR" sz="1200" b="0">
              <a:solidFill>
                <a:srgbClr val="FF0000"/>
              </a:solidFill>
              <a:effectLst/>
              <a:latin typeface="+mn-lt"/>
              <a:ea typeface="+mn-ea"/>
              <a:cs typeface="+mn-cs"/>
            </a:rPr>
            <a:t>• </a:t>
          </a:r>
          <a:r>
            <a:rPr lang="pt-BR" sz="1200" b="1">
              <a:solidFill>
                <a:srgbClr val="FF0000"/>
              </a:solidFill>
              <a:effectLst/>
              <a:latin typeface="+mn-lt"/>
              <a:ea typeface="+mn-ea"/>
              <a:cs typeface="+mn-cs"/>
            </a:rPr>
            <a:t>Apresentação: </a:t>
          </a:r>
          <a:r>
            <a:rPr lang="pt-BR" sz="1200" b="0">
              <a:solidFill>
                <a:schemeClr val="tx1"/>
              </a:solidFill>
              <a:effectLst/>
              <a:latin typeface="+mn-lt"/>
              <a:ea typeface="+mn-ea"/>
              <a:cs typeface="+mn-cs"/>
            </a:rPr>
            <a:t>aba que</a:t>
          </a:r>
          <a:r>
            <a:rPr lang="pt-BR" sz="1200" b="0" baseline="0">
              <a:solidFill>
                <a:schemeClr val="tx1"/>
              </a:solidFill>
              <a:effectLst/>
              <a:latin typeface="+mn-lt"/>
              <a:ea typeface="+mn-ea"/>
              <a:cs typeface="+mn-cs"/>
            </a:rPr>
            <a:t> introduz o projeto, citando as motivações por trás da criação do mesmo e quais objetivos pretendem ser alcançados através de sua realização.</a:t>
          </a:r>
        </a:p>
        <a:p>
          <a:pPr algn="l"/>
          <a:endParaRPr lang="pt-BR" sz="1200" b="0" baseline="0">
            <a:solidFill>
              <a:srgbClr val="FF0000"/>
            </a:solidFill>
            <a:effectLst/>
            <a:latin typeface="+mn-lt"/>
            <a:ea typeface="+mn-ea"/>
            <a:cs typeface="+mn-cs"/>
          </a:endParaRPr>
        </a:p>
        <a:p>
          <a:pPr algn="l"/>
          <a:r>
            <a:rPr lang="pt-BR" sz="1100" b="1">
              <a:solidFill>
                <a:srgbClr val="FF0000"/>
              </a:solidFill>
              <a:effectLst/>
              <a:latin typeface="+mn-lt"/>
              <a:ea typeface="+mn-ea"/>
              <a:cs typeface="+mn-cs"/>
            </a:rPr>
            <a:t>• </a:t>
          </a:r>
          <a:r>
            <a:rPr lang="pt-BR" sz="1200" b="1">
              <a:solidFill>
                <a:srgbClr val="FF0000"/>
              </a:solidFill>
              <a:effectLst/>
              <a:latin typeface="+mn-lt"/>
              <a:ea typeface="+mn-ea"/>
              <a:cs typeface="+mn-cs"/>
            </a:rPr>
            <a:t>Dados</a:t>
          </a:r>
          <a:r>
            <a:rPr lang="pt-BR" sz="1200" b="1" baseline="0">
              <a:solidFill>
                <a:srgbClr val="FF0000"/>
              </a:solidFill>
              <a:effectLst/>
              <a:latin typeface="+mn-lt"/>
              <a:ea typeface="+mn-ea"/>
              <a:cs typeface="+mn-cs"/>
            </a:rPr>
            <a:t> Brutos: </a:t>
          </a:r>
          <a:r>
            <a:rPr lang="pt-BR" sz="1200" b="0" baseline="0">
              <a:solidFill>
                <a:schemeClr val="tx1"/>
              </a:solidFill>
              <a:effectLst/>
              <a:latin typeface="+mn-lt"/>
              <a:ea typeface="+mn-ea"/>
              <a:cs typeface="+mn-cs"/>
            </a:rPr>
            <a:t>aba que contém os dados que serão utilizados no projeto em estado bruto, sem qualquer tipo de tratamento ou formatação.</a:t>
          </a:r>
        </a:p>
        <a:p>
          <a:pPr algn="l"/>
          <a:endParaRPr lang="pt-BR" sz="12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pt-BR" sz="1100" b="0">
              <a:solidFill>
                <a:srgbClr val="FF0000"/>
              </a:solidFill>
              <a:effectLst/>
              <a:latin typeface="+mn-lt"/>
              <a:ea typeface="+mn-ea"/>
              <a:cs typeface="+mn-cs"/>
            </a:rPr>
            <a:t>•</a:t>
          </a:r>
          <a:r>
            <a:rPr lang="pt-BR" sz="1200" b="0" baseline="0">
              <a:solidFill>
                <a:srgbClr val="FF0000"/>
              </a:solidFill>
              <a:effectLst/>
              <a:latin typeface="+mn-lt"/>
              <a:ea typeface="+mn-ea"/>
              <a:cs typeface="+mn-cs"/>
            </a:rPr>
            <a:t> </a:t>
          </a:r>
          <a:r>
            <a:rPr lang="pt-BR" sz="1200" b="1" baseline="0">
              <a:solidFill>
                <a:srgbClr val="FF0000"/>
              </a:solidFill>
              <a:effectLst/>
              <a:latin typeface="+mn-lt"/>
              <a:ea typeface="+mn-ea"/>
              <a:cs typeface="+mn-cs"/>
            </a:rPr>
            <a:t>Dados Tratados: </a:t>
          </a:r>
          <a:r>
            <a:rPr lang="pt-BR" sz="1200" b="0" baseline="0">
              <a:solidFill>
                <a:schemeClr val="tx1"/>
              </a:solidFill>
              <a:effectLst/>
              <a:latin typeface="+mn-lt"/>
              <a:ea typeface="+mn-ea"/>
              <a:cs typeface="+mn-cs"/>
            </a:rPr>
            <a:t>aba contendo os dados limpos e tratados, tendo passado por processos cruciais como verificação de dados ausentes e remoção de duplicatas.</a:t>
          </a:r>
        </a:p>
        <a:p>
          <a:pPr marL="0" marR="0" lvl="0" indent="0" algn="l" defTabSz="914400" eaLnBrk="1" fontAlgn="auto" latinLnBrk="0" hangingPunct="1">
            <a:lnSpc>
              <a:spcPct val="100000"/>
            </a:lnSpc>
            <a:spcBef>
              <a:spcPts val="0"/>
            </a:spcBef>
            <a:spcAft>
              <a:spcPts val="0"/>
            </a:spcAft>
            <a:buClrTx/>
            <a:buSzTx/>
            <a:buFontTx/>
            <a:buNone/>
            <a:tabLst/>
            <a:defRPr/>
          </a:pPr>
          <a:endParaRPr lang="pt-BR" sz="12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pt-BR" sz="1200" b="0">
              <a:solidFill>
                <a:srgbClr val="FF0000"/>
              </a:solidFill>
              <a:effectLst/>
              <a:latin typeface="+mn-lt"/>
              <a:ea typeface="+mn-ea"/>
              <a:cs typeface="+mn-cs"/>
            </a:rPr>
            <a:t>•</a:t>
          </a:r>
          <a:r>
            <a:rPr lang="pt-BR" sz="1200" b="0" baseline="0">
              <a:solidFill>
                <a:srgbClr val="FF0000"/>
              </a:solidFill>
              <a:effectLst/>
              <a:latin typeface="+mn-lt"/>
              <a:ea typeface="+mn-ea"/>
              <a:cs typeface="+mn-cs"/>
            </a:rPr>
            <a:t> </a:t>
          </a:r>
          <a:r>
            <a:rPr lang="pt-BR" sz="1200" b="1" baseline="0">
              <a:solidFill>
                <a:srgbClr val="FF0000"/>
              </a:solidFill>
              <a:effectLst/>
              <a:latin typeface="+mn-lt"/>
              <a:ea typeface="+mn-ea"/>
              <a:cs typeface="+mn-cs"/>
            </a:rPr>
            <a:t>Análises: </a:t>
          </a:r>
          <a:r>
            <a:rPr lang="pt-BR" sz="1200" b="0" baseline="0">
              <a:solidFill>
                <a:schemeClr val="tx1"/>
              </a:solidFill>
              <a:effectLst/>
              <a:latin typeface="+mn-lt"/>
              <a:ea typeface="+mn-ea"/>
              <a:cs typeface="+mn-cs"/>
            </a:rPr>
            <a:t>aba contendo as análises que serão feitas baseando-se nas perguntas de negócio que buscam serem respondidas e nos dados tratados.</a:t>
          </a:r>
        </a:p>
        <a:p>
          <a:pPr marL="0" marR="0" lvl="0" indent="0" algn="l" defTabSz="914400" eaLnBrk="1" fontAlgn="auto" latinLnBrk="0" hangingPunct="1">
            <a:lnSpc>
              <a:spcPct val="100000"/>
            </a:lnSpc>
            <a:spcBef>
              <a:spcPts val="0"/>
            </a:spcBef>
            <a:spcAft>
              <a:spcPts val="0"/>
            </a:spcAft>
            <a:buClrTx/>
            <a:buSzTx/>
            <a:buFontTx/>
            <a:buNone/>
            <a:tabLst/>
            <a:defRPr/>
          </a:pPr>
          <a:endParaRPr lang="pt-BR" sz="12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pt-BR" sz="1200" b="0">
              <a:solidFill>
                <a:srgbClr val="FF0000"/>
              </a:solidFill>
              <a:effectLst/>
              <a:latin typeface="+mn-lt"/>
              <a:ea typeface="+mn-ea"/>
              <a:cs typeface="+mn-cs"/>
            </a:rPr>
            <a:t>•</a:t>
          </a:r>
          <a:r>
            <a:rPr lang="pt-BR" sz="1200" b="0" baseline="0">
              <a:solidFill>
                <a:srgbClr val="FF0000"/>
              </a:solidFill>
              <a:effectLst/>
              <a:latin typeface="+mn-lt"/>
              <a:ea typeface="+mn-ea"/>
              <a:cs typeface="+mn-cs"/>
            </a:rPr>
            <a:t> </a:t>
          </a:r>
          <a:r>
            <a:rPr lang="pt-BR" sz="1200" b="1" baseline="0">
              <a:solidFill>
                <a:srgbClr val="FF0000"/>
              </a:solidFill>
              <a:effectLst/>
              <a:latin typeface="+mn-lt"/>
              <a:ea typeface="+mn-ea"/>
              <a:cs typeface="+mn-cs"/>
            </a:rPr>
            <a:t>Anotações: </a:t>
          </a:r>
          <a:r>
            <a:rPr lang="pt-BR" sz="1200" b="0" baseline="0">
              <a:solidFill>
                <a:schemeClr val="tx1"/>
              </a:solidFill>
              <a:effectLst/>
              <a:latin typeface="+mn-lt"/>
              <a:ea typeface="+mn-ea"/>
              <a:cs typeface="+mn-cs"/>
            </a:rPr>
            <a:t>aba onde estarão disponíveis alguns de meus pensamentos e justificativas relacionadas a determinadas decisões que tomei durante a construção do projeto.</a:t>
          </a:r>
        </a:p>
        <a:p>
          <a:pPr marL="0" marR="0" lvl="0" indent="0" algn="l" defTabSz="914400" eaLnBrk="1" fontAlgn="auto" latinLnBrk="0" hangingPunct="1">
            <a:lnSpc>
              <a:spcPct val="100000"/>
            </a:lnSpc>
            <a:spcBef>
              <a:spcPts val="0"/>
            </a:spcBef>
            <a:spcAft>
              <a:spcPts val="0"/>
            </a:spcAft>
            <a:buClrTx/>
            <a:buSzTx/>
            <a:buFontTx/>
            <a:buNone/>
            <a:tabLst/>
            <a:defRPr/>
          </a:pPr>
          <a:endParaRPr lang="pt-BR" sz="1200" b="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pt-BR" sz="1200" b="0" baseline="0">
              <a:solidFill>
                <a:schemeClr val="tx1"/>
              </a:solidFill>
              <a:effectLst/>
              <a:latin typeface="+mn-lt"/>
              <a:ea typeface="+mn-ea"/>
              <a:cs typeface="+mn-cs"/>
            </a:rPr>
            <a:t>O dashboard das análises estará disponível em um arquivo .pbix do Power BI e em uma pasta diferente.</a:t>
          </a:r>
          <a:endParaRPr lang="pt-BR" sz="1200">
            <a:solidFill>
              <a:srgbClr val="FF0000"/>
            </a:solidFill>
            <a:effectLst/>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848303</xdr:colOff>
      <xdr:row>0</xdr:row>
      <xdr:rowOff>104775</xdr:rowOff>
    </xdr:from>
    <xdr:ext cx="3234027" cy="405432"/>
    <xdr:sp macro="" textlink="">
      <xdr:nvSpPr>
        <xdr:cNvPr id="2" name="CaixaDeTexto 1">
          <a:extLst>
            <a:ext uri="{FF2B5EF4-FFF2-40B4-BE49-F238E27FC236}">
              <a16:creationId xmlns:a16="http://schemas.microsoft.com/office/drawing/2014/main" id="{54F3D7A2-1728-47AF-B8F2-DC9F84FC265D}"/>
            </a:ext>
          </a:extLst>
        </xdr:cNvPr>
        <xdr:cNvSpPr txBox="1"/>
      </xdr:nvSpPr>
      <xdr:spPr>
        <a:xfrm>
          <a:off x="4925003" y="104775"/>
          <a:ext cx="32340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a:t>Análise</a:t>
          </a:r>
          <a:r>
            <a:rPr lang="pt-BR" sz="2000" b="1" baseline="0"/>
            <a:t> Descritiva dos Dados</a:t>
          </a:r>
          <a:endParaRPr lang="pt-BR" sz="2000" b="1"/>
        </a:p>
      </xdr:txBody>
    </xdr:sp>
    <xdr:clientData/>
  </xdr:oneCellAnchor>
  <xdr:oneCellAnchor>
    <xdr:from>
      <xdr:col>1</xdr:col>
      <xdr:colOff>457200</xdr:colOff>
      <xdr:row>6</xdr:row>
      <xdr:rowOff>142875</xdr:rowOff>
    </xdr:from>
    <xdr:ext cx="4712251" cy="405432"/>
    <xdr:sp macro="" textlink="">
      <xdr:nvSpPr>
        <xdr:cNvPr id="3" name="CaixaDeTexto 2">
          <a:extLst>
            <a:ext uri="{FF2B5EF4-FFF2-40B4-BE49-F238E27FC236}">
              <a16:creationId xmlns:a16="http://schemas.microsoft.com/office/drawing/2014/main" id="{DC6DD0BC-1ECF-4085-86BC-5BBAFA85FFBE}"/>
            </a:ext>
          </a:extLst>
        </xdr:cNvPr>
        <xdr:cNvSpPr txBox="1"/>
      </xdr:nvSpPr>
      <xdr:spPr>
        <a:xfrm>
          <a:off x="1952625" y="1285875"/>
          <a:ext cx="471225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a:t>1. Resultado</a:t>
          </a:r>
          <a:r>
            <a:rPr lang="pt-BR" sz="2000" b="1" baseline="0"/>
            <a:t> Financeiro das Transferências</a:t>
          </a:r>
        </a:p>
      </xdr:txBody>
    </xdr:sp>
    <xdr:clientData/>
  </xdr:oneCellAnchor>
  <xdr:oneCellAnchor>
    <xdr:from>
      <xdr:col>0</xdr:col>
      <xdr:colOff>0</xdr:colOff>
      <xdr:row>8</xdr:row>
      <xdr:rowOff>123168</xdr:rowOff>
    </xdr:from>
    <xdr:ext cx="9271128" cy="311496"/>
    <xdr:sp macro="" textlink="">
      <xdr:nvSpPr>
        <xdr:cNvPr id="4" name="CaixaDeTexto 3">
          <a:extLst>
            <a:ext uri="{FF2B5EF4-FFF2-40B4-BE49-F238E27FC236}">
              <a16:creationId xmlns:a16="http://schemas.microsoft.com/office/drawing/2014/main" id="{DE15D2E5-0951-4C14-906B-6F98227F45DE}"/>
            </a:ext>
          </a:extLst>
        </xdr:cNvPr>
        <xdr:cNvSpPr txBox="1"/>
      </xdr:nvSpPr>
      <xdr:spPr>
        <a:xfrm>
          <a:off x="0" y="1647168"/>
          <a:ext cx="92711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Pergunta de Negócio: </a:t>
          </a:r>
          <a:r>
            <a:rPr lang="pt-BR" sz="1400" b="0" i="1"/>
            <a:t>O Tottenham apresentou lucro ou prejuízo no mercado de transferências ao longo das temporadas?</a:t>
          </a:r>
        </a:p>
      </xdr:txBody>
    </xdr:sp>
    <xdr:clientData/>
  </xdr:oneCellAnchor>
  <xdr:oneCellAnchor>
    <xdr:from>
      <xdr:col>0</xdr:col>
      <xdr:colOff>118502</xdr:colOff>
      <xdr:row>10</xdr:row>
      <xdr:rowOff>139043</xdr:rowOff>
    </xdr:from>
    <xdr:ext cx="818815" cy="311496"/>
    <xdr:sp macro="" textlink="">
      <xdr:nvSpPr>
        <xdr:cNvPr id="6" name="CaixaDeTexto 5">
          <a:extLst>
            <a:ext uri="{FF2B5EF4-FFF2-40B4-BE49-F238E27FC236}">
              <a16:creationId xmlns:a16="http://schemas.microsoft.com/office/drawing/2014/main" id="{2B8224E1-89DA-44EA-BE9A-82CB0A9D9572}"/>
            </a:ext>
          </a:extLst>
        </xdr:cNvPr>
        <xdr:cNvSpPr txBox="1"/>
      </xdr:nvSpPr>
      <xdr:spPr>
        <a:xfrm>
          <a:off x="118502" y="2024199"/>
          <a:ext cx="8188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Análise: </a:t>
          </a:r>
          <a:endParaRPr lang="pt-BR" sz="1400" b="0" i="1"/>
        </a:p>
      </xdr:txBody>
    </xdr:sp>
    <xdr:clientData/>
  </xdr:oneCellAnchor>
  <xdr:twoCellAnchor>
    <xdr:from>
      <xdr:col>0</xdr:col>
      <xdr:colOff>635046</xdr:colOff>
      <xdr:row>22</xdr:row>
      <xdr:rowOff>183890</xdr:rowOff>
    </xdr:from>
    <xdr:to>
      <xdr:col>6</xdr:col>
      <xdr:colOff>1335200</xdr:colOff>
      <xdr:row>46</xdr:row>
      <xdr:rowOff>8504</xdr:rowOff>
    </xdr:to>
    <xdr:graphicFrame macro="">
      <xdr:nvGraphicFramePr>
        <xdr:cNvPr id="5" name="Gráfico 4">
          <a:extLst>
            <a:ext uri="{FF2B5EF4-FFF2-40B4-BE49-F238E27FC236}">
              <a16:creationId xmlns:a16="http://schemas.microsoft.com/office/drawing/2014/main" id="{66F10C5D-81A9-1C04-2DE6-3DCBEE703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644922</xdr:colOff>
      <xdr:row>47</xdr:row>
      <xdr:rowOff>7542</xdr:rowOff>
    </xdr:from>
    <xdr:to>
      <xdr:col>6</xdr:col>
      <xdr:colOff>1379141</xdr:colOff>
      <xdr:row>70</xdr:row>
      <xdr:rowOff>168672</xdr:rowOff>
    </xdr:to>
    <xdr:graphicFrame macro="">
      <xdr:nvGraphicFramePr>
        <xdr:cNvPr id="7" name="Gráfico 6">
          <a:extLst>
            <a:ext uri="{FF2B5EF4-FFF2-40B4-BE49-F238E27FC236}">
              <a16:creationId xmlns:a16="http://schemas.microsoft.com/office/drawing/2014/main" id="{07FDB2B2-AA8A-09CD-E88C-108D88C17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113183</xdr:colOff>
      <xdr:row>71</xdr:row>
      <xdr:rowOff>138636</xdr:rowOff>
    </xdr:from>
    <xdr:ext cx="1781963" cy="311496"/>
    <xdr:sp macro="" textlink="">
      <xdr:nvSpPr>
        <xdr:cNvPr id="8" name="CaixaDeTexto 7">
          <a:extLst>
            <a:ext uri="{FF2B5EF4-FFF2-40B4-BE49-F238E27FC236}">
              <a16:creationId xmlns:a16="http://schemas.microsoft.com/office/drawing/2014/main" id="{4198BE4D-298A-4180-AF5F-0EC58BFA5784}"/>
            </a:ext>
          </a:extLst>
        </xdr:cNvPr>
        <xdr:cNvSpPr txBox="1"/>
      </xdr:nvSpPr>
      <xdr:spPr>
        <a:xfrm>
          <a:off x="113183" y="13940167"/>
          <a:ext cx="17819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Conclusão</a:t>
          </a:r>
          <a:r>
            <a:rPr lang="pt-BR" sz="1400" b="1" i="0" baseline="0"/>
            <a:t> e Insights</a:t>
          </a:r>
          <a:r>
            <a:rPr lang="pt-BR" sz="1400" b="1" i="0"/>
            <a:t>: </a:t>
          </a:r>
          <a:endParaRPr lang="pt-BR" sz="1400" b="0" i="1"/>
        </a:p>
      </xdr:txBody>
    </xdr:sp>
    <xdr:clientData/>
  </xdr:oneCellAnchor>
  <xdr:oneCellAnchor>
    <xdr:from>
      <xdr:col>0</xdr:col>
      <xdr:colOff>28575</xdr:colOff>
      <xdr:row>73</xdr:row>
      <xdr:rowOff>113860</xdr:rowOff>
    </xdr:from>
    <xdr:ext cx="10458504" cy="2722284"/>
    <xdr:sp macro="" textlink="">
      <xdr:nvSpPr>
        <xdr:cNvPr id="9" name="CaixaDeTexto 8">
          <a:extLst>
            <a:ext uri="{FF2B5EF4-FFF2-40B4-BE49-F238E27FC236}">
              <a16:creationId xmlns:a16="http://schemas.microsoft.com/office/drawing/2014/main" id="{6E667475-6A3D-452C-91E0-F7E4682A1787}"/>
            </a:ext>
          </a:extLst>
        </xdr:cNvPr>
        <xdr:cNvSpPr txBox="1"/>
      </xdr:nvSpPr>
      <xdr:spPr>
        <a:xfrm>
          <a:off x="28575" y="14020360"/>
          <a:ext cx="10458504" cy="2722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0" i="0"/>
            <a:t>A</a:t>
          </a:r>
          <a:r>
            <a:rPr lang="pt-BR" sz="1400" b="0" i="0" baseline="0"/>
            <a:t> análise financeira baseada nas movimentações do Tottenham Hotspur entre as temporadas 2019/20 e 2024/25 demonstrou que</a:t>
          </a:r>
          <a:br>
            <a:rPr lang="pt-BR" sz="1400" b="0" i="0" baseline="0"/>
          </a:br>
          <a:r>
            <a:rPr lang="pt-BR" sz="1400" b="0" i="0" baseline="0"/>
            <a:t>o clube manteve uma forte postura no que diz respeito à aquisição de atletas, chegando a investir cerca de </a:t>
          </a:r>
          <a:r>
            <a:rPr lang="pt-BR" sz="1400"/>
            <a:t>£553.2m</a:t>
          </a:r>
          <a:r>
            <a:rPr lang="pt-BR" sz="1400" baseline="0"/>
            <a:t> durante todo o período.</a:t>
          </a:r>
          <a:br>
            <a:rPr lang="pt-BR" sz="1400" baseline="0"/>
          </a:br>
          <a:r>
            <a:rPr lang="pt-BR" sz="1400" baseline="0"/>
            <a:t>Em contrapartida, também conseguimos perceber que o clube gerou menos da metade deste valor com a saída de seus ativos, reunindo um</a:t>
          </a:r>
          <a:br>
            <a:rPr lang="pt-BR" sz="1400" baseline="0"/>
          </a:br>
          <a:r>
            <a:rPr lang="pt-BR" sz="1400" baseline="0"/>
            <a:t>total de </a:t>
          </a:r>
          <a:r>
            <a:rPr lang="pt-BR" sz="1400"/>
            <a:t>£179.8m.</a:t>
          </a:r>
        </a:p>
        <a:p>
          <a:pPr algn="ctr"/>
          <a:endParaRPr lang="pt-BR" sz="1400" b="0" i="0"/>
        </a:p>
        <a:p>
          <a:pPr algn="ctr"/>
          <a:r>
            <a:rPr lang="pt-BR" sz="1400" b="0" i="0"/>
            <a:t>Outro</a:t>
          </a:r>
          <a:r>
            <a:rPr lang="pt-BR" sz="1400" b="0" i="0" baseline="0"/>
            <a:t> ponto chamativo foi o déficit acumulado pelo clube, chegando aos </a:t>
          </a:r>
          <a:r>
            <a:rPr lang="pt-BR" sz="1400">
              <a:solidFill>
                <a:schemeClr val="tx1"/>
              </a:solidFill>
              <a:effectLst/>
              <a:latin typeface="+mn-lt"/>
              <a:ea typeface="+mn-ea"/>
              <a:cs typeface="+mn-cs"/>
            </a:rPr>
            <a:t>£373.4m em 2024/25</a:t>
          </a:r>
          <a:r>
            <a:rPr lang="pt-BR" sz="1400" b="0" i="0" baseline="0"/>
            <a:t>. O ápice do fenômeno ocorreu</a:t>
          </a:r>
        </a:p>
        <a:p>
          <a:pPr algn="ctr"/>
          <a:r>
            <a:rPr lang="pt-BR" sz="1400" b="0" i="0" baseline="0"/>
            <a:t> justamente no último período analisado, onde o valor esteve na marca de </a:t>
          </a:r>
          <a:r>
            <a:rPr lang="pt-BR" sz="1400">
              <a:solidFill>
                <a:schemeClr val="tx1"/>
              </a:solidFill>
              <a:effectLst/>
              <a:latin typeface="+mn-lt"/>
              <a:ea typeface="+mn-ea"/>
              <a:cs typeface="+mn-cs"/>
            </a:rPr>
            <a:t>£92.5m. Curiosamente, este número surgiu após uma</a:t>
          </a:r>
          <a:br>
            <a:rPr lang="pt-BR" sz="1400">
              <a:solidFill>
                <a:schemeClr val="tx1"/>
              </a:solidFill>
              <a:effectLst/>
              <a:latin typeface="+mn-lt"/>
              <a:ea typeface="+mn-ea"/>
              <a:cs typeface="+mn-cs"/>
            </a:rPr>
          </a:br>
          <a:r>
            <a:rPr lang="pt-BR" sz="1400">
              <a:solidFill>
                <a:schemeClr val="tx1"/>
              </a:solidFill>
              <a:effectLst/>
              <a:latin typeface="+mn-lt"/>
              <a:ea typeface="+mn-ea"/>
              <a:cs typeface="+mn-cs"/>
            </a:rPr>
            <a:t>decrescente constante</a:t>
          </a:r>
          <a:r>
            <a:rPr lang="pt-BR" sz="1400" baseline="0">
              <a:solidFill>
                <a:schemeClr val="tx1"/>
              </a:solidFill>
              <a:effectLst/>
              <a:latin typeface="+mn-lt"/>
              <a:ea typeface="+mn-ea"/>
              <a:cs typeface="+mn-cs"/>
            </a:rPr>
            <a:t> de cinco temporadas consecutivas, o que pode indicar um possível desejo de reforçar o plantel de jogadores com</a:t>
          </a:r>
          <a:br>
            <a:rPr lang="pt-BR" sz="1400" baseline="0">
              <a:solidFill>
                <a:schemeClr val="tx1"/>
              </a:solidFill>
              <a:effectLst/>
              <a:latin typeface="+mn-lt"/>
              <a:ea typeface="+mn-ea"/>
              <a:cs typeface="+mn-cs"/>
            </a:rPr>
          </a:br>
          <a:r>
            <a:rPr lang="pt-BR" sz="1400" baseline="0">
              <a:solidFill>
                <a:schemeClr val="tx1"/>
              </a:solidFill>
              <a:effectLst/>
              <a:latin typeface="+mn-lt"/>
              <a:ea typeface="+mn-ea"/>
              <a:cs typeface="+mn-cs"/>
            </a:rPr>
            <a:t>contratações pontuais e de extrema necessidade naquele momento.</a:t>
          </a:r>
        </a:p>
        <a:p>
          <a:pPr algn="ctr"/>
          <a:endParaRPr lang="pt-BR" sz="1400" b="0" i="0" baseline="0">
            <a:solidFill>
              <a:schemeClr val="tx1"/>
            </a:solidFill>
            <a:effectLst/>
            <a:latin typeface="+mn-lt"/>
            <a:ea typeface="+mn-ea"/>
            <a:cs typeface="+mn-cs"/>
          </a:endParaRPr>
        </a:p>
        <a:p>
          <a:pPr algn="ctr"/>
          <a:r>
            <a:rPr lang="pt-BR" sz="1400" b="0" i="0" baseline="0">
              <a:solidFill>
                <a:schemeClr val="tx1"/>
              </a:solidFill>
              <a:effectLst/>
              <a:latin typeface="+mn-lt"/>
              <a:ea typeface="+mn-ea"/>
              <a:cs typeface="+mn-cs"/>
            </a:rPr>
            <a:t>Em resumo, o Tottenham Hotspur sofreu prejuízo no mercado de transferências ao longo das temporadas analisadas pois, em cada uma,</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investiu mais que arrecadou.</a:t>
          </a:r>
          <a:endParaRPr lang="pt-BR" sz="1400" b="0" i="0"/>
        </a:p>
      </xdr:txBody>
    </xdr:sp>
    <xdr:clientData/>
  </xdr:oneCellAnchor>
  <xdr:oneCellAnchor>
    <xdr:from>
      <xdr:col>14</xdr:col>
      <xdr:colOff>1710449</xdr:colOff>
      <xdr:row>6</xdr:row>
      <xdr:rowOff>174934</xdr:rowOff>
    </xdr:from>
    <xdr:ext cx="4358565" cy="405432"/>
    <xdr:sp macro="" textlink="">
      <xdr:nvSpPr>
        <xdr:cNvPr id="10" name="CaixaDeTexto 9">
          <a:extLst>
            <a:ext uri="{FF2B5EF4-FFF2-40B4-BE49-F238E27FC236}">
              <a16:creationId xmlns:a16="http://schemas.microsoft.com/office/drawing/2014/main" id="{ADD2323A-2ACC-4756-82FC-396F30129351}"/>
            </a:ext>
          </a:extLst>
        </xdr:cNvPr>
        <xdr:cNvSpPr txBox="1"/>
      </xdr:nvSpPr>
      <xdr:spPr>
        <a:xfrm>
          <a:off x="16045574" y="1317934"/>
          <a:ext cx="435856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baseline="0"/>
            <a:t>2. Volume de Investimento por Posição</a:t>
          </a:r>
        </a:p>
      </xdr:txBody>
    </xdr:sp>
    <xdr:clientData/>
  </xdr:oneCellAnchor>
  <xdr:oneCellAnchor>
    <xdr:from>
      <xdr:col>14</xdr:col>
      <xdr:colOff>931443</xdr:colOff>
      <xdr:row>8</xdr:row>
      <xdr:rowOff>119573</xdr:rowOff>
    </xdr:from>
    <xdr:ext cx="6052491" cy="311496"/>
    <xdr:sp macro="" textlink="">
      <xdr:nvSpPr>
        <xdr:cNvPr id="11" name="CaixaDeTexto 10">
          <a:extLst>
            <a:ext uri="{FF2B5EF4-FFF2-40B4-BE49-F238E27FC236}">
              <a16:creationId xmlns:a16="http://schemas.microsoft.com/office/drawing/2014/main" id="{69AB0A73-C9BA-48BB-9A2A-B059995BA2FB}"/>
            </a:ext>
          </a:extLst>
        </xdr:cNvPr>
        <xdr:cNvSpPr txBox="1"/>
      </xdr:nvSpPr>
      <xdr:spPr>
        <a:xfrm>
          <a:off x="15266568" y="1643573"/>
          <a:ext cx="605249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Pergunta de Negócio: </a:t>
          </a:r>
          <a:r>
            <a:rPr lang="pt-BR" sz="1400" b="0" i="1"/>
            <a:t>Quais posições receberam</a:t>
          </a:r>
          <a:r>
            <a:rPr lang="pt-BR" sz="1400" b="0" i="1" baseline="0"/>
            <a:t> maior volume de investimento?</a:t>
          </a:r>
          <a:endParaRPr lang="pt-BR" sz="1400" b="0" i="1"/>
        </a:p>
      </xdr:txBody>
    </xdr:sp>
    <xdr:clientData/>
  </xdr:oneCellAnchor>
  <xdr:oneCellAnchor>
    <xdr:from>
      <xdr:col>14</xdr:col>
      <xdr:colOff>28575</xdr:colOff>
      <xdr:row>10</xdr:row>
      <xdr:rowOff>123825</xdr:rowOff>
    </xdr:from>
    <xdr:ext cx="818815" cy="311496"/>
    <xdr:sp macro="" textlink="">
      <xdr:nvSpPr>
        <xdr:cNvPr id="12" name="CaixaDeTexto 11">
          <a:extLst>
            <a:ext uri="{FF2B5EF4-FFF2-40B4-BE49-F238E27FC236}">
              <a16:creationId xmlns:a16="http://schemas.microsoft.com/office/drawing/2014/main" id="{82DADD0E-ABFF-4AC9-B757-32338EAEADB9}"/>
            </a:ext>
          </a:extLst>
        </xdr:cNvPr>
        <xdr:cNvSpPr txBox="1"/>
      </xdr:nvSpPr>
      <xdr:spPr>
        <a:xfrm>
          <a:off x="14363700" y="2028825"/>
          <a:ext cx="8188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Análise: </a:t>
          </a:r>
          <a:endParaRPr lang="pt-BR" sz="1400" b="0" i="1"/>
        </a:p>
      </xdr:txBody>
    </xdr:sp>
    <xdr:clientData/>
  </xdr:oneCellAnchor>
  <xdr:twoCellAnchor>
    <xdr:from>
      <xdr:col>14</xdr:col>
      <xdr:colOff>9524</xdr:colOff>
      <xdr:row>21</xdr:row>
      <xdr:rowOff>14286</xdr:rowOff>
    </xdr:from>
    <xdr:to>
      <xdr:col>19</xdr:col>
      <xdr:colOff>0</xdr:colOff>
      <xdr:row>41</xdr:row>
      <xdr:rowOff>171449</xdr:rowOff>
    </xdr:to>
    <xdr:graphicFrame macro="">
      <xdr:nvGraphicFramePr>
        <xdr:cNvPr id="13" name="Gráfico 12">
          <a:extLst>
            <a:ext uri="{FF2B5EF4-FFF2-40B4-BE49-F238E27FC236}">
              <a16:creationId xmlns:a16="http://schemas.microsoft.com/office/drawing/2014/main" id="{D5653FA5-62E7-C2CE-D365-409383816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1009650</xdr:colOff>
      <xdr:row>43</xdr:row>
      <xdr:rowOff>4761</xdr:rowOff>
    </xdr:from>
    <xdr:to>
      <xdr:col>18</xdr:col>
      <xdr:colOff>781049</xdr:colOff>
      <xdr:row>61</xdr:row>
      <xdr:rowOff>180974</xdr:rowOff>
    </xdr:to>
    <xdr:graphicFrame macro="">
      <xdr:nvGraphicFramePr>
        <xdr:cNvPr id="14" name="Gráfico 13">
          <a:extLst>
            <a:ext uri="{FF2B5EF4-FFF2-40B4-BE49-F238E27FC236}">
              <a16:creationId xmlns:a16="http://schemas.microsoft.com/office/drawing/2014/main" id="{6B4B860F-5D48-B7AD-2AD8-AB08843E6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581025</xdr:colOff>
      <xdr:row>62</xdr:row>
      <xdr:rowOff>127000</xdr:rowOff>
    </xdr:from>
    <xdr:ext cx="1781963" cy="311496"/>
    <xdr:sp macro="" textlink="">
      <xdr:nvSpPr>
        <xdr:cNvPr id="15" name="CaixaDeTexto 14">
          <a:extLst>
            <a:ext uri="{FF2B5EF4-FFF2-40B4-BE49-F238E27FC236}">
              <a16:creationId xmlns:a16="http://schemas.microsoft.com/office/drawing/2014/main" id="{6B9B4CC9-E9A1-43A9-999E-E228B5EABAC3}"/>
            </a:ext>
          </a:extLst>
        </xdr:cNvPr>
        <xdr:cNvSpPr txBox="1"/>
      </xdr:nvSpPr>
      <xdr:spPr>
        <a:xfrm>
          <a:off x="13077825" y="11938000"/>
          <a:ext cx="17819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Conclusão</a:t>
          </a:r>
          <a:r>
            <a:rPr lang="pt-BR" sz="1400" b="1" i="0" baseline="0"/>
            <a:t> e Insights</a:t>
          </a:r>
          <a:r>
            <a:rPr lang="pt-BR" sz="1400" b="1" i="0"/>
            <a:t>: </a:t>
          </a:r>
          <a:endParaRPr lang="pt-BR" sz="1400" b="0" i="1"/>
        </a:p>
      </xdr:txBody>
    </xdr:sp>
    <xdr:clientData/>
  </xdr:oneCellAnchor>
  <xdr:oneCellAnchor>
    <xdr:from>
      <xdr:col>11</xdr:col>
      <xdr:colOff>568050</xdr:colOff>
      <xdr:row>64</xdr:row>
      <xdr:rowOff>129560</xdr:rowOff>
    </xdr:from>
    <xdr:ext cx="10272749" cy="2064796"/>
    <xdr:sp macro="" textlink="">
      <xdr:nvSpPr>
        <xdr:cNvPr id="16" name="CaixaDeTexto 15">
          <a:extLst>
            <a:ext uri="{FF2B5EF4-FFF2-40B4-BE49-F238E27FC236}">
              <a16:creationId xmlns:a16="http://schemas.microsoft.com/office/drawing/2014/main" id="{385B74E8-2973-4604-90FA-73736C5B9397}"/>
            </a:ext>
          </a:extLst>
        </xdr:cNvPr>
        <xdr:cNvSpPr txBox="1"/>
      </xdr:nvSpPr>
      <xdr:spPr>
        <a:xfrm>
          <a:off x="13067366" y="12206541"/>
          <a:ext cx="10272749" cy="2064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0" i="0" baseline="0"/>
            <a:t>A análise dos investimentos por posições realizados pelo Tottenham Hotspur demonstrou que os meio-campistas receberam o maior</a:t>
          </a:r>
          <a:br>
            <a:rPr lang="pt-BR" sz="1400" b="0" i="0" baseline="0"/>
          </a:br>
          <a:r>
            <a:rPr lang="pt-BR" sz="1400" b="0" i="0" baseline="0"/>
            <a:t>volume de recursos financeiros durante o período analisado, concentrando cerca de </a:t>
          </a:r>
          <a:r>
            <a:rPr lang="pt-BR" sz="1400" b="1" i="0" baseline="0"/>
            <a:t>38,7% </a:t>
          </a:r>
          <a:r>
            <a:rPr lang="pt-BR" sz="1400" b="0" i="0" baseline="0"/>
            <a:t>do total. Logo em seguida, temos os atacantes,</a:t>
          </a:r>
          <a:br>
            <a:rPr lang="pt-BR" sz="1400" b="0" i="0" baseline="0"/>
          </a:br>
          <a:r>
            <a:rPr lang="pt-BR" sz="1400" b="0" i="0" baseline="0"/>
            <a:t>reunindo </a:t>
          </a:r>
          <a:r>
            <a:rPr lang="pt-BR" sz="1400" b="1" i="0" baseline="0"/>
            <a:t>36,2%</a:t>
          </a:r>
          <a:r>
            <a:rPr lang="pt-BR" sz="1400" b="0" i="0" baseline="0"/>
            <a:t> e, por fim, os defensores, para os quais foram direcionados </a:t>
          </a:r>
          <a:r>
            <a:rPr lang="pt-BR" sz="1400" b="1" i="0" baseline="0"/>
            <a:t>25,1%</a:t>
          </a:r>
          <a:r>
            <a:rPr lang="pt-BR" sz="1400" b="0" i="0" baseline="0"/>
            <a:t>. Apesar dos meio-campistas liderarem o ranking,</a:t>
          </a:r>
          <a:br>
            <a:rPr lang="pt-BR" sz="1400" b="0" i="0" baseline="0"/>
          </a:br>
          <a:r>
            <a:rPr lang="pt-BR" sz="1400" b="0" i="0" baseline="0"/>
            <a:t>a diferença em relação aos atacantes é de apenas </a:t>
          </a:r>
          <a:r>
            <a:rPr lang="pt-BR" sz="1400" b="1" i="0" baseline="0"/>
            <a:t>2,5%</a:t>
          </a:r>
          <a:r>
            <a:rPr lang="pt-BR" sz="1400" b="0" i="0" baseline="0"/>
            <a:t>, indicando uma distribuição relativamente equilibrada dos recursos destinados</a:t>
          </a:r>
          <a:br>
            <a:rPr lang="pt-BR" sz="1400" b="0" i="0" baseline="0"/>
          </a:br>
          <a:r>
            <a:rPr lang="pt-BR" sz="1400" b="0" i="0" baseline="0"/>
            <a:t>a estes setores do campo.</a:t>
          </a:r>
          <a:br>
            <a:rPr lang="pt-BR" sz="1400" b="0" i="0" baseline="0"/>
          </a:br>
          <a:endParaRPr lang="pt-BR" sz="1400" b="0" i="0"/>
        </a:p>
        <a:p>
          <a:pPr algn="ctr"/>
          <a:r>
            <a:rPr lang="pt-BR" sz="1400" b="0" i="0" baseline="0">
              <a:solidFill>
                <a:schemeClr val="tx1"/>
              </a:solidFill>
              <a:effectLst/>
              <a:latin typeface="+mn-lt"/>
              <a:ea typeface="+mn-ea"/>
              <a:cs typeface="+mn-cs"/>
            </a:rPr>
            <a:t>Em conjunto, meio-campistas e atacantes representaram aproximadamente </a:t>
          </a:r>
          <a:r>
            <a:rPr lang="pt-BR" sz="1400" b="1" i="0" baseline="0">
              <a:solidFill>
                <a:schemeClr val="tx1"/>
              </a:solidFill>
              <a:effectLst/>
              <a:latin typeface="+mn-lt"/>
              <a:ea typeface="+mn-ea"/>
              <a:cs typeface="+mn-cs"/>
            </a:rPr>
            <a:t>75%</a:t>
          </a:r>
          <a:r>
            <a:rPr lang="pt-BR" sz="1400" b="0" i="0" baseline="0">
              <a:solidFill>
                <a:schemeClr val="tx1"/>
              </a:solidFill>
              <a:effectLst/>
              <a:latin typeface="+mn-lt"/>
              <a:ea typeface="+mn-ea"/>
              <a:cs typeface="+mn-cs"/>
            </a:rPr>
            <a:t> dos investimentos realizados pelo clube, sugerindo uma</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estratégia voltada à consolidação dos setores de criação e conclusão das jogadas, que concentraram parcela superior dos recursos</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destinados às contratações.</a:t>
          </a:r>
        </a:p>
      </xdr:txBody>
    </xdr:sp>
    <xdr:clientData/>
  </xdr:oneCellAnchor>
  <xdr:oneCellAnchor>
    <xdr:from>
      <xdr:col>25</xdr:col>
      <xdr:colOff>256688</xdr:colOff>
      <xdr:row>6</xdr:row>
      <xdr:rowOff>169126</xdr:rowOff>
    </xdr:from>
    <xdr:ext cx="3588355" cy="405432"/>
    <xdr:sp macro="" textlink="">
      <xdr:nvSpPr>
        <xdr:cNvPr id="17" name="CaixaDeTexto 16">
          <a:extLst>
            <a:ext uri="{FF2B5EF4-FFF2-40B4-BE49-F238E27FC236}">
              <a16:creationId xmlns:a16="http://schemas.microsoft.com/office/drawing/2014/main" id="{BB23360E-3363-4B90-8200-4B643BDF7E29}"/>
            </a:ext>
          </a:extLst>
        </xdr:cNvPr>
        <xdr:cNvSpPr txBox="1"/>
      </xdr:nvSpPr>
      <xdr:spPr>
        <a:xfrm>
          <a:off x="26955263" y="1312126"/>
          <a:ext cx="358835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baseline="0"/>
            <a:t>3. Perfil Etário das Contratações</a:t>
          </a:r>
        </a:p>
      </xdr:txBody>
    </xdr:sp>
    <xdr:clientData/>
  </xdr:oneCellAnchor>
  <xdr:oneCellAnchor>
    <xdr:from>
      <xdr:col>23</xdr:col>
      <xdr:colOff>560646</xdr:colOff>
      <xdr:row>8</xdr:row>
      <xdr:rowOff>114300</xdr:rowOff>
    </xdr:from>
    <xdr:ext cx="7407734" cy="311496"/>
    <xdr:sp macro="" textlink="">
      <xdr:nvSpPr>
        <xdr:cNvPr id="18" name="CaixaDeTexto 17">
          <a:extLst>
            <a:ext uri="{FF2B5EF4-FFF2-40B4-BE49-F238E27FC236}">
              <a16:creationId xmlns:a16="http://schemas.microsoft.com/office/drawing/2014/main" id="{B6AEFFB1-CB89-40A3-ACF7-6E74306948B6}"/>
            </a:ext>
          </a:extLst>
        </xdr:cNvPr>
        <xdr:cNvSpPr txBox="1"/>
      </xdr:nvSpPr>
      <xdr:spPr>
        <a:xfrm>
          <a:off x="25049421" y="1638300"/>
          <a:ext cx="74077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Pergunta de Negócio: </a:t>
          </a:r>
          <a:r>
            <a:rPr lang="pt-BR" sz="1400" b="0" i="1"/>
            <a:t>O clube priorizou a contratação de jogadores jovens ou mais experientes?</a:t>
          </a:r>
        </a:p>
      </xdr:txBody>
    </xdr:sp>
    <xdr:clientData/>
  </xdr:oneCellAnchor>
  <xdr:oneCellAnchor>
    <xdr:from>
      <xdr:col>24</xdr:col>
      <xdr:colOff>19050</xdr:colOff>
      <xdr:row>10</xdr:row>
      <xdr:rowOff>133350</xdr:rowOff>
    </xdr:from>
    <xdr:ext cx="818815" cy="311496"/>
    <xdr:sp macro="" textlink="">
      <xdr:nvSpPr>
        <xdr:cNvPr id="20" name="CaixaDeTexto 19">
          <a:extLst>
            <a:ext uri="{FF2B5EF4-FFF2-40B4-BE49-F238E27FC236}">
              <a16:creationId xmlns:a16="http://schemas.microsoft.com/office/drawing/2014/main" id="{BBC96D07-6941-4884-8AFF-35016342CB85}"/>
            </a:ext>
          </a:extLst>
        </xdr:cNvPr>
        <xdr:cNvSpPr txBox="1"/>
      </xdr:nvSpPr>
      <xdr:spPr>
        <a:xfrm>
          <a:off x="25774650" y="2038350"/>
          <a:ext cx="8188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Análise: </a:t>
          </a:r>
          <a:endParaRPr lang="pt-BR" sz="1400" b="0" i="1"/>
        </a:p>
      </xdr:txBody>
    </xdr:sp>
    <xdr:clientData/>
  </xdr:oneCellAnchor>
  <xdr:twoCellAnchor>
    <xdr:from>
      <xdr:col>23</xdr:col>
      <xdr:colOff>609157</xdr:colOff>
      <xdr:row>21</xdr:row>
      <xdr:rowOff>5538</xdr:rowOff>
    </xdr:from>
    <xdr:to>
      <xdr:col>28</xdr:col>
      <xdr:colOff>1600200</xdr:colOff>
      <xdr:row>40</xdr:row>
      <xdr:rowOff>171450</xdr:rowOff>
    </xdr:to>
    <xdr:graphicFrame macro="">
      <xdr:nvGraphicFramePr>
        <xdr:cNvPr id="19" name="Gráfico 18">
          <a:extLst>
            <a:ext uri="{FF2B5EF4-FFF2-40B4-BE49-F238E27FC236}">
              <a16:creationId xmlns:a16="http://schemas.microsoft.com/office/drawing/2014/main" id="{38D6C836-3A56-17E2-128E-560DC36761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655617</xdr:colOff>
      <xdr:row>42</xdr:row>
      <xdr:rowOff>13853</xdr:rowOff>
    </xdr:from>
    <xdr:to>
      <xdr:col>28</xdr:col>
      <xdr:colOff>989610</xdr:colOff>
      <xdr:row>59</xdr:row>
      <xdr:rowOff>0</xdr:rowOff>
    </xdr:to>
    <xdr:graphicFrame macro="">
      <xdr:nvGraphicFramePr>
        <xdr:cNvPr id="22" name="Gráfico 21">
          <a:extLst>
            <a:ext uri="{FF2B5EF4-FFF2-40B4-BE49-F238E27FC236}">
              <a16:creationId xmlns:a16="http://schemas.microsoft.com/office/drawing/2014/main" id="{B8A48BDB-A6DB-9E0A-3760-D2730846D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23</xdr:col>
      <xdr:colOff>542925</xdr:colOff>
      <xdr:row>59</xdr:row>
      <xdr:rowOff>123825</xdr:rowOff>
    </xdr:from>
    <xdr:ext cx="1781963" cy="311496"/>
    <xdr:sp macro="" textlink="">
      <xdr:nvSpPr>
        <xdr:cNvPr id="23" name="CaixaDeTexto 22">
          <a:extLst>
            <a:ext uri="{FF2B5EF4-FFF2-40B4-BE49-F238E27FC236}">
              <a16:creationId xmlns:a16="http://schemas.microsoft.com/office/drawing/2014/main" id="{AA244325-9335-4DA8-9815-568B8D059AC2}"/>
            </a:ext>
          </a:extLst>
        </xdr:cNvPr>
        <xdr:cNvSpPr txBox="1"/>
      </xdr:nvSpPr>
      <xdr:spPr>
        <a:xfrm>
          <a:off x="25031700" y="11363325"/>
          <a:ext cx="17819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Conclusão</a:t>
          </a:r>
          <a:r>
            <a:rPr lang="pt-BR" sz="1400" b="1" i="0" baseline="0"/>
            <a:t> e Insights</a:t>
          </a:r>
          <a:r>
            <a:rPr lang="pt-BR" sz="1400" b="1" i="0"/>
            <a:t>: </a:t>
          </a:r>
          <a:endParaRPr lang="pt-BR" sz="1400" b="0" i="1"/>
        </a:p>
      </xdr:txBody>
    </xdr:sp>
    <xdr:clientData/>
  </xdr:oneCellAnchor>
  <xdr:oneCellAnchor>
    <xdr:from>
      <xdr:col>22</xdr:col>
      <xdr:colOff>517167</xdr:colOff>
      <xdr:row>61</xdr:row>
      <xdr:rowOff>130610</xdr:rowOff>
    </xdr:from>
    <xdr:ext cx="11036163" cy="2722284"/>
    <xdr:sp macro="" textlink="">
      <xdr:nvSpPr>
        <xdr:cNvPr id="24" name="CaixaDeTexto 23">
          <a:extLst>
            <a:ext uri="{FF2B5EF4-FFF2-40B4-BE49-F238E27FC236}">
              <a16:creationId xmlns:a16="http://schemas.microsoft.com/office/drawing/2014/main" id="{5D63FC72-E26D-4E62-BEC9-52F80CCEB75A}"/>
            </a:ext>
          </a:extLst>
        </xdr:cNvPr>
        <xdr:cNvSpPr txBox="1"/>
      </xdr:nvSpPr>
      <xdr:spPr>
        <a:xfrm>
          <a:off x="24392568" y="11641483"/>
          <a:ext cx="11036163" cy="27222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0" i="0" baseline="0"/>
            <a:t>Evidenciou-se, após análise, que o perfil etário mais buscado pelo Tottenham Hotspur em suas contratações concentra-se em atletas</a:t>
          </a:r>
          <a:br>
            <a:rPr lang="pt-BR" sz="1400" b="0" i="0" baseline="0"/>
          </a:br>
          <a:r>
            <a:rPr lang="pt-BR" sz="1400" b="1" i="0" baseline="0"/>
            <a:t>jovens</a:t>
          </a:r>
          <a:r>
            <a:rPr lang="pt-BR" sz="1400" b="0" i="0" baseline="0"/>
            <a:t> na faixa de 21 a 25 anos, representando cerca de </a:t>
          </a:r>
          <a:r>
            <a:rPr lang="pt-BR" sz="1400" b="1" i="0" baseline="0"/>
            <a:t>69</a:t>
          </a:r>
          <a:r>
            <a:rPr lang="pt-BR" sz="1400" b="0" i="0" baseline="0"/>
            <a:t>% das entradas durante o período analisado. Somando-o com a porcentagem</a:t>
          </a:r>
          <a:br>
            <a:rPr lang="pt-BR" sz="1400" b="0" i="0" baseline="0"/>
          </a:br>
          <a:r>
            <a:rPr lang="pt-BR" sz="1400" b="0" i="0" baseline="0"/>
            <a:t>apresentada pela categoria </a:t>
          </a:r>
          <a:r>
            <a:rPr lang="pt-BR" sz="1400" b="1" i="0" baseline="0"/>
            <a:t>muito jovem</a:t>
          </a:r>
          <a:r>
            <a:rPr lang="pt-BR" sz="1400" b="0" i="0" baseline="0"/>
            <a:t>, chega-se à conclusão de que </a:t>
          </a:r>
          <a:r>
            <a:rPr lang="pt-BR" sz="1400" b="1" i="0" baseline="0"/>
            <a:t>75%</a:t>
          </a:r>
          <a:r>
            <a:rPr lang="pt-BR" sz="1400" b="0" i="0" baseline="0"/>
            <a:t> de todas as movimentações admissionais priorizaram jogadores</a:t>
          </a:r>
          <a:br>
            <a:rPr lang="pt-BR" sz="1400" b="0" i="0" baseline="0"/>
          </a:br>
          <a:r>
            <a:rPr lang="pt-BR" sz="1400" b="0" i="0" baseline="0"/>
            <a:t>até 25 anos de idade, portanto, </a:t>
          </a:r>
          <a:r>
            <a:rPr lang="pt-BR" sz="1400" b="1" i="0" baseline="0"/>
            <a:t>jovens</a:t>
          </a:r>
          <a:r>
            <a:rPr lang="pt-BR" sz="1400" b="0" i="0" baseline="0"/>
            <a:t>.</a:t>
          </a:r>
          <a:br>
            <a:rPr lang="pt-BR" sz="1400" b="0" i="0" baseline="0"/>
          </a:br>
          <a:br>
            <a:rPr lang="pt-BR" sz="1400" b="0" i="0" baseline="0"/>
          </a:br>
          <a:r>
            <a:rPr lang="pt-BR" sz="1400" b="0" i="0" baseline="0"/>
            <a:t>Em contrapartida, os atletas </a:t>
          </a:r>
          <a:r>
            <a:rPr lang="pt-BR" sz="1400" b="1" i="0" baseline="0"/>
            <a:t>experientes</a:t>
          </a:r>
          <a:r>
            <a:rPr lang="pt-BR" sz="1400" b="0" i="0" baseline="0"/>
            <a:t> e </a:t>
          </a:r>
          <a:r>
            <a:rPr lang="pt-BR" sz="1400" b="1" i="0" baseline="0"/>
            <a:t>veteranos</a:t>
          </a:r>
          <a:r>
            <a:rPr lang="pt-BR" sz="1400" b="0" i="0" baseline="0"/>
            <a:t> representaram, juntos, </a:t>
          </a:r>
          <a:r>
            <a:rPr lang="pt-BR" sz="1400" b="1" i="0" baseline="0"/>
            <a:t>25%</a:t>
          </a:r>
          <a:r>
            <a:rPr lang="pt-BR" sz="1400" b="0" i="0" baseline="0"/>
            <a:t> do total, sendo </a:t>
          </a:r>
          <a:r>
            <a:rPr lang="pt-BR" sz="1400" b="1" i="0" baseline="0"/>
            <a:t>19%</a:t>
          </a:r>
          <a:r>
            <a:rPr lang="pt-BR" sz="1400" b="0" i="0" baseline="0"/>
            <a:t> e </a:t>
          </a:r>
          <a:r>
            <a:rPr lang="pt-BR" sz="1400" b="1" i="0" baseline="0"/>
            <a:t>6%</a:t>
          </a:r>
          <a:r>
            <a:rPr lang="pt-BR" sz="1400" b="0" i="0" baseline="0"/>
            <a:t>, respectivamente. Nota-se,</a:t>
          </a:r>
          <a:br>
            <a:rPr lang="pt-BR" sz="1400" b="0" i="0" baseline="0"/>
          </a:br>
          <a:r>
            <a:rPr lang="pt-BR" sz="1400" b="0" i="0" baseline="0"/>
            <a:t>durante as temporadas analisadas, que o clube se distanciou de contratações "extremas", como as de jogadores muito jovens e veteranos, visto que</a:t>
          </a:r>
          <a:br>
            <a:rPr lang="pt-BR" sz="1400" b="0" i="0" baseline="0"/>
          </a:br>
          <a:r>
            <a:rPr lang="pt-BR" sz="1400" b="0" i="0" baseline="0"/>
            <a:t>ambas representam apenas </a:t>
          </a:r>
          <a:r>
            <a:rPr lang="pt-BR" sz="1400" b="1" i="0" baseline="0"/>
            <a:t>12</a:t>
          </a:r>
          <a:r>
            <a:rPr lang="pt-BR" sz="1400" b="0" i="0" baseline="0"/>
            <a:t>% da totalidade quando somadas. Pelo ponto de vista adotado, as categorias intermediárias reúnem-se em </a:t>
          </a:r>
          <a:r>
            <a:rPr lang="pt-BR" sz="1400" b="1" i="0" baseline="0"/>
            <a:t>88%</a:t>
          </a:r>
          <a:r>
            <a:rPr lang="pt-BR" sz="1400" b="0" i="0" baseline="0"/>
            <a:t>,</a:t>
          </a:r>
          <a:br>
            <a:rPr lang="pt-BR" sz="1400" b="0" i="0" baseline="0"/>
          </a:br>
          <a:r>
            <a:rPr lang="pt-BR" sz="1400" b="0" i="0" baseline="0"/>
            <a:t>concentrando a maioria das contratações em atletas de </a:t>
          </a:r>
          <a:r>
            <a:rPr lang="pt-BR" sz="1400" b="1" i="0" baseline="0"/>
            <a:t>21</a:t>
          </a:r>
          <a:r>
            <a:rPr lang="pt-BR" sz="1400" b="0" i="0" baseline="0"/>
            <a:t> até </a:t>
          </a:r>
          <a:r>
            <a:rPr lang="pt-BR" sz="1400" b="1" i="0" baseline="0"/>
            <a:t>30</a:t>
          </a:r>
          <a:r>
            <a:rPr lang="pt-BR" sz="1400" b="0" i="0" baseline="0"/>
            <a:t> anos.</a:t>
          </a:r>
          <a:br>
            <a:rPr lang="pt-BR" sz="1400" b="0" i="0" baseline="0"/>
          </a:br>
          <a:br>
            <a:rPr lang="pt-BR" sz="1400" b="0" i="0" baseline="0"/>
          </a:br>
          <a:r>
            <a:rPr lang="pt-BR" sz="1400" b="0" i="0" baseline="0"/>
            <a:t>Resumidamente, o Tottenham Hotspur priorizou jogadores jovens em relação aos experientes, especificamente atletas entre a faixa de </a:t>
          </a:r>
          <a:r>
            <a:rPr lang="pt-BR" sz="1400" b="1" i="0" baseline="0"/>
            <a:t>21</a:t>
          </a:r>
          <a:r>
            <a:rPr lang="pt-BR" sz="1400" b="0" i="0" baseline="0"/>
            <a:t> a </a:t>
          </a:r>
          <a:r>
            <a:rPr lang="pt-BR" sz="1400" b="1" i="0" baseline="0"/>
            <a:t>25</a:t>
          </a:r>
          <a:r>
            <a:rPr lang="pt-BR" sz="1400" b="0" i="0" baseline="0"/>
            <a:t> anos,</a:t>
          </a:r>
          <a:br>
            <a:rPr lang="pt-BR" sz="1400" b="0" i="0" baseline="0"/>
          </a:br>
          <a:r>
            <a:rPr lang="pt-BR" sz="1400" b="0" i="0" baseline="0"/>
            <a:t>sugerindo uma possível estratégia voltada ao equilíbro entre desempenho esportivo e desenvolvimento de ativos.</a:t>
          </a:r>
          <a:endParaRPr lang="pt-BR" sz="1400" b="0" i="0"/>
        </a:p>
      </xdr:txBody>
    </xdr:sp>
    <xdr:clientData/>
  </xdr:oneCellAnchor>
  <xdr:oneCellAnchor>
    <xdr:from>
      <xdr:col>37</xdr:col>
      <xdr:colOff>341371</xdr:colOff>
      <xdr:row>6</xdr:row>
      <xdr:rowOff>176770</xdr:rowOff>
    </xdr:from>
    <xdr:ext cx="3961021" cy="405432"/>
    <xdr:sp macro="" textlink="">
      <xdr:nvSpPr>
        <xdr:cNvPr id="21" name="CaixaDeTexto 20">
          <a:extLst>
            <a:ext uri="{FF2B5EF4-FFF2-40B4-BE49-F238E27FC236}">
              <a16:creationId xmlns:a16="http://schemas.microsoft.com/office/drawing/2014/main" id="{73338A40-233F-40C6-AA68-0038EF48CC69}"/>
            </a:ext>
          </a:extLst>
        </xdr:cNvPr>
        <xdr:cNvSpPr txBox="1"/>
      </xdr:nvSpPr>
      <xdr:spPr>
        <a:xfrm>
          <a:off x="38791819" y="1308987"/>
          <a:ext cx="396102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baseline="0"/>
            <a:t>4. Nacionalidades das Contratações</a:t>
          </a:r>
        </a:p>
      </xdr:txBody>
    </xdr:sp>
    <xdr:clientData/>
  </xdr:oneCellAnchor>
  <xdr:oneCellAnchor>
    <xdr:from>
      <xdr:col>35</xdr:col>
      <xdr:colOff>534477</xdr:colOff>
      <xdr:row>8</xdr:row>
      <xdr:rowOff>124093</xdr:rowOff>
    </xdr:from>
    <xdr:ext cx="8405635" cy="311496"/>
    <xdr:sp macro="" textlink="">
      <xdr:nvSpPr>
        <xdr:cNvPr id="25" name="CaixaDeTexto 24">
          <a:extLst>
            <a:ext uri="{FF2B5EF4-FFF2-40B4-BE49-F238E27FC236}">
              <a16:creationId xmlns:a16="http://schemas.microsoft.com/office/drawing/2014/main" id="{8A9CB241-16C3-4FA3-AFA6-8681B1186EDB}"/>
            </a:ext>
          </a:extLst>
        </xdr:cNvPr>
        <xdr:cNvSpPr txBox="1"/>
      </xdr:nvSpPr>
      <xdr:spPr>
        <a:xfrm>
          <a:off x="36576718" y="1633716"/>
          <a:ext cx="84056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Pergunta de Negócio: </a:t>
          </a:r>
          <a:r>
            <a:rPr lang="pt-BR" sz="1400" b="0" i="1"/>
            <a:t>Existe um padrão de nacionalidades nas contratações realizadas pelo Tottenham Hotspur?</a:t>
          </a:r>
        </a:p>
      </xdr:txBody>
    </xdr:sp>
    <xdr:clientData/>
  </xdr:oneCellAnchor>
  <xdr:oneCellAnchor>
    <xdr:from>
      <xdr:col>35</xdr:col>
      <xdr:colOff>584080</xdr:colOff>
      <xdr:row>10</xdr:row>
      <xdr:rowOff>143774</xdr:rowOff>
    </xdr:from>
    <xdr:ext cx="818815" cy="311496"/>
    <xdr:sp macro="" textlink="">
      <xdr:nvSpPr>
        <xdr:cNvPr id="26" name="CaixaDeTexto 25">
          <a:extLst>
            <a:ext uri="{FF2B5EF4-FFF2-40B4-BE49-F238E27FC236}">
              <a16:creationId xmlns:a16="http://schemas.microsoft.com/office/drawing/2014/main" id="{EF0BE010-78C9-4789-BBF0-912093708FC7}"/>
            </a:ext>
          </a:extLst>
        </xdr:cNvPr>
        <xdr:cNvSpPr txBox="1"/>
      </xdr:nvSpPr>
      <xdr:spPr>
        <a:xfrm>
          <a:off x="36626321" y="2030802"/>
          <a:ext cx="8188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Análise: </a:t>
          </a:r>
          <a:endParaRPr lang="pt-BR" sz="1400" b="0" i="1"/>
        </a:p>
      </xdr:txBody>
    </xdr:sp>
    <xdr:clientData/>
  </xdr:oneCellAnchor>
  <xdr:twoCellAnchor>
    <xdr:from>
      <xdr:col>36</xdr:col>
      <xdr:colOff>9721</xdr:colOff>
      <xdr:row>47</xdr:row>
      <xdr:rowOff>189180</xdr:rowOff>
    </xdr:from>
    <xdr:to>
      <xdr:col>40</xdr:col>
      <xdr:colOff>1827246</xdr:colOff>
      <xdr:row>67</xdr:row>
      <xdr:rowOff>170819</xdr:rowOff>
    </xdr:to>
    <xdr:graphicFrame macro="">
      <xdr:nvGraphicFramePr>
        <xdr:cNvPr id="27" name="Gráfico 26">
          <a:extLst>
            <a:ext uri="{FF2B5EF4-FFF2-40B4-BE49-F238E27FC236}">
              <a16:creationId xmlns:a16="http://schemas.microsoft.com/office/drawing/2014/main" id="{BAFD9697-F798-3D87-C4A2-4DDD12DE1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35</xdr:col>
      <xdr:colOff>589473</xdr:colOff>
      <xdr:row>68</xdr:row>
      <xdr:rowOff>120222</xdr:rowOff>
    </xdr:from>
    <xdr:ext cx="1781963" cy="311496"/>
    <xdr:sp macro="" textlink="">
      <xdr:nvSpPr>
        <xdr:cNvPr id="28" name="CaixaDeTexto 27">
          <a:extLst>
            <a:ext uri="{FF2B5EF4-FFF2-40B4-BE49-F238E27FC236}">
              <a16:creationId xmlns:a16="http://schemas.microsoft.com/office/drawing/2014/main" id="{310F3297-2F08-48EB-9D6C-55DE52BDCEDB}"/>
            </a:ext>
          </a:extLst>
        </xdr:cNvPr>
        <xdr:cNvSpPr txBox="1"/>
      </xdr:nvSpPr>
      <xdr:spPr>
        <a:xfrm>
          <a:off x="36622548" y="13074222"/>
          <a:ext cx="17819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Conclusão</a:t>
          </a:r>
          <a:r>
            <a:rPr lang="pt-BR" sz="1400" b="1" i="0" baseline="0"/>
            <a:t> e Insights</a:t>
          </a:r>
          <a:r>
            <a:rPr lang="pt-BR" sz="1400" b="1" i="0"/>
            <a:t>: </a:t>
          </a:r>
          <a:endParaRPr lang="pt-BR" sz="1400" b="0" i="1"/>
        </a:p>
      </xdr:txBody>
    </xdr:sp>
    <xdr:clientData/>
  </xdr:oneCellAnchor>
  <xdr:oneCellAnchor>
    <xdr:from>
      <xdr:col>35</xdr:col>
      <xdr:colOff>259240</xdr:colOff>
      <xdr:row>70</xdr:row>
      <xdr:rowOff>125239</xdr:rowOff>
    </xdr:from>
    <xdr:ext cx="11907362" cy="2283959"/>
    <xdr:sp macro="" textlink="">
      <xdr:nvSpPr>
        <xdr:cNvPr id="29" name="CaixaDeTexto 28">
          <a:extLst>
            <a:ext uri="{FF2B5EF4-FFF2-40B4-BE49-F238E27FC236}">
              <a16:creationId xmlns:a16="http://schemas.microsoft.com/office/drawing/2014/main" id="{8463A3B4-0C55-443D-9D86-0A55241C8A82}"/>
            </a:ext>
          </a:extLst>
        </xdr:cNvPr>
        <xdr:cNvSpPr txBox="1"/>
      </xdr:nvSpPr>
      <xdr:spPr>
        <a:xfrm>
          <a:off x="36301160" y="13222114"/>
          <a:ext cx="11907362" cy="2283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0" i="0" baseline="0"/>
            <a:t>As contratações realizadas pelo Tottenham Hotspur durante o período contaram com a presença de atletas originários de diversos países do globo,</a:t>
          </a:r>
          <a:br>
            <a:rPr lang="pt-BR" sz="1400" b="0" i="0" baseline="0"/>
          </a:br>
          <a:r>
            <a:rPr lang="pt-BR" sz="1400" b="0" i="0" baseline="0"/>
            <a:t>totalizando </a:t>
          </a:r>
          <a:r>
            <a:rPr lang="pt-BR" sz="1400" b="1" i="0" baseline="0"/>
            <a:t>13</a:t>
          </a:r>
          <a:r>
            <a:rPr lang="pt-BR" sz="1400" b="0" i="0" baseline="0"/>
            <a:t> nacionalidades distintas divididas entre </a:t>
          </a:r>
          <a:r>
            <a:rPr lang="pt-BR" sz="1400" b="1" i="0" baseline="0"/>
            <a:t>16</a:t>
          </a:r>
          <a:r>
            <a:rPr lang="pt-BR" sz="1400" b="0" i="0" baseline="0"/>
            <a:t> jogadores. A Inglaterra, com </a:t>
          </a:r>
          <a:r>
            <a:rPr lang="pt-BR" sz="1400" b="1" i="0" baseline="0"/>
            <a:t>3</a:t>
          </a:r>
          <a:r>
            <a:rPr lang="pt-BR" sz="1400" b="0" i="0" baseline="0"/>
            <a:t>, encontra-se no topo, seguida por Holanda com </a:t>
          </a:r>
          <a:r>
            <a:rPr lang="pt-BR" sz="1400" b="1" i="0" baseline="0"/>
            <a:t>2</a:t>
          </a:r>
          <a:endParaRPr lang="pt-BR" sz="1400" b="0" i="0" baseline="0"/>
        </a:p>
        <a:p>
          <a:pPr algn="ctr"/>
          <a:r>
            <a:rPr lang="pt-BR" sz="1400" b="0" i="0" baseline="0"/>
            <a:t>enquanto as demais nacionalidades apresentam apenas </a:t>
          </a:r>
          <a:r>
            <a:rPr lang="pt-BR" sz="1400" b="1" i="0" baseline="0"/>
            <a:t>1 </a:t>
          </a:r>
          <a:r>
            <a:rPr lang="pt-BR" sz="1400" b="0" i="0" baseline="0"/>
            <a:t>cada.</a:t>
          </a:r>
          <a:br>
            <a:rPr lang="pt-BR" sz="1400" b="0" i="0" baseline="0"/>
          </a:br>
          <a:endParaRPr lang="pt-BR" sz="1400" b="0" i="0" baseline="0"/>
        </a:p>
        <a:p>
          <a:pPr algn="ctr"/>
          <a:r>
            <a:rPr lang="pt-BR" sz="1400" b="0" i="0" baseline="0"/>
            <a:t>Embora os ingleses e holandeses liderem a lista, não há indícios suficientes para afirmar que o Tottenham Hotspur padronizou sua busca por talentos</a:t>
          </a:r>
          <a:br>
            <a:rPr lang="pt-BR" sz="1400" b="0" i="0" baseline="0"/>
          </a:br>
          <a:r>
            <a:rPr lang="pt-BR" sz="1400" b="0" i="0" baseline="0"/>
            <a:t>ao concentrar-se em uma ou outra nacionalidade, visto que a diferença entre atletas é </a:t>
          </a:r>
          <a:r>
            <a:rPr lang="pt-BR" sz="1400" b="1" i="0" baseline="0"/>
            <a:t>mínima</a:t>
          </a:r>
          <a:r>
            <a:rPr lang="pt-BR" sz="1400" b="0" i="0" baseline="0"/>
            <a:t> e a </a:t>
          </a:r>
          <a:r>
            <a:rPr lang="pt-BR" sz="1400" b="1" i="0" baseline="0"/>
            <a:t>diversidade</a:t>
          </a:r>
          <a:r>
            <a:rPr lang="pt-BR" sz="1400" b="0" i="0" baseline="0"/>
            <a:t> de nações se faz presente. Além disso,</a:t>
          </a:r>
          <a:br>
            <a:rPr lang="pt-BR" sz="1400" b="0" i="0" baseline="0"/>
          </a:br>
          <a:r>
            <a:rPr lang="pt-BR" sz="1400" b="0" i="0" baseline="0"/>
            <a:t>cerca de </a:t>
          </a:r>
          <a:r>
            <a:rPr lang="pt-BR" sz="1400" b="1" i="0" baseline="0"/>
            <a:t>11 </a:t>
          </a:r>
          <a:r>
            <a:rPr lang="pt-BR" sz="1400" b="0" i="0" baseline="0"/>
            <a:t>ativos contratados não são representados pelas bandeiras de Inglaterra ou Holanda. Isso sugere uma possível estratégia adotada pelo departamento</a:t>
          </a:r>
          <a:br>
            <a:rPr lang="pt-BR" sz="1400" b="0" i="0" baseline="0"/>
          </a:br>
          <a:r>
            <a:rPr lang="pt-BR" sz="1400" b="0" i="0" baseline="0"/>
            <a:t>de scouting do clube visando o mapeamento de atletas que estejam se desenvolvendo em outras ligas europeias, porém sem perder contato com as</a:t>
          </a:r>
          <a:br>
            <a:rPr lang="pt-BR" sz="1400" b="0" i="0" baseline="0"/>
          </a:br>
          <a:r>
            <a:rPr lang="pt-BR" sz="1400" b="0" i="0" baseline="0"/>
            <a:t>novidades que surgem no mercado doméstico — uma vez que todos os jogadores ingleses foram contratados enquanto atuavam por equipes conterrâneas</a:t>
          </a:r>
          <a:br>
            <a:rPr lang="pt-BR" sz="1400" b="0" i="0" baseline="0"/>
          </a:br>
          <a:r>
            <a:rPr lang="pt-BR" sz="1400" b="0" i="0" baseline="0"/>
            <a:t>como Leicester City, Bournemouth e Leeds United.</a:t>
          </a:r>
        </a:p>
      </xdr:txBody>
    </xdr:sp>
    <xdr:clientData/>
  </xdr:oneCellAnchor>
  <xdr:oneCellAnchor>
    <xdr:from>
      <xdr:col>53</xdr:col>
      <xdr:colOff>1318917</xdr:colOff>
      <xdr:row>6</xdr:row>
      <xdr:rowOff>184218</xdr:rowOff>
    </xdr:from>
    <xdr:ext cx="2477025" cy="405432"/>
    <xdr:sp macro="" textlink="">
      <xdr:nvSpPr>
        <xdr:cNvPr id="30" name="CaixaDeTexto 29">
          <a:extLst>
            <a:ext uri="{FF2B5EF4-FFF2-40B4-BE49-F238E27FC236}">
              <a16:creationId xmlns:a16="http://schemas.microsoft.com/office/drawing/2014/main" id="{10162775-C05E-4213-A566-3C891D20B9F1}"/>
            </a:ext>
          </a:extLst>
        </xdr:cNvPr>
        <xdr:cNvSpPr txBox="1"/>
      </xdr:nvSpPr>
      <xdr:spPr>
        <a:xfrm>
          <a:off x="54688683" y="1315312"/>
          <a:ext cx="247702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baseline="0"/>
            <a:t>5. Retorno Financeiro</a:t>
          </a:r>
        </a:p>
      </xdr:txBody>
    </xdr:sp>
    <xdr:clientData/>
  </xdr:oneCellAnchor>
  <xdr:oneCellAnchor>
    <xdr:from>
      <xdr:col>52</xdr:col>
      <xdr:colOff>1588689</xdr:colOff>
      <xdr:row>8</xdr:row>
      <xdr:rowOff>115879</xdr:rowOff>
    </xdr:from>
    <xdr:ext cx="6129498" cy="311496"/>
    <xdr:sp macro="" textlink="">
      <xdr:nvSpPr>
        <xdr:cNvPr id="31" name="CaixaDeTexto 30">
          <a:extLst>
            <a:ext uri="{FF2B5EF4-FFF2-40B4-BE49-F238E27FC236}">
              <a16:creationId xmlns:a16="http://schemas.microsoft.com/office/drawing/2014/main" id="{27A7B400-F5D7-451E-A9A4-6871BEE4414A}"/>
            </a:ext>
          </a:extLst>
        </xdr:cNvPr>
        <xdr:cNvSpPr txBox="1"/>
      </xdr:nvSpPr>
      <xdr:spPr>
        <a:xfrm>
          <a:off x="52864939" y="1624004"/>
          <a:ext cx="61294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Pergunta de Negócio: </a:t>
          </a:r>
          <a:r>
            <a:rPr lang="pt-BR" sz="1400" b="0" i="1"/>
            <a:t>Quais posições</a:t>
          </a:r>
          <a:r>
            <a:rPr lang="pt-BR" sz="1400" b="0" i="1" baseline="0"/>
            <a:t> geraram maior retorno financeiro ao clube?</a:t>
          </a:r>
          <a:endParaRPr lang="pt-BR" sz="1400" b="0" i="1"/>
        </a:p>
      </xdr:txBody>
    </xdr:sp>
    <xdr:clientData/>
  </xdr:oneCellAnchor>
  <xdr:oneCellAnchor>
    <xdr:from>
      <xdr:col>51</xdr:col>
      <xdr:colOff>557123</xdr:colOff>
      <xdr:row>10</xdr:row>
      <xdr:rowOff>150018</xdr:rowOff>
    </xdr:from>
    <xdr:ext cx="818815" cy="311496"/>
    <xdr:sp macro="" textlink="">
      <xdr:nvSpPr>
        <xdr:cNvPr id="32" name="CaixaDeTexto 31">
          <a:extLst>
            <a:ext uri="{FF2B5EF4-FFF2-40B4-BE49-F238E27FC236}">
              <a16:creationId xmlns:a16="http://schemas.microsoft.com/office/drawing/2014/main" id="{7B90AB71-F8D7-44F2-B99C-C54B52711ED8}"/>
            </a:ext>
          </a:extLst>
        </xdr:cNvPr>
        <xdr:cNvSpPr txBox="1"/>
      </xdr:nvSpPr>
      <xdr:spPr>
        <a:xfrm>
          <a:off x="51435153" y="2087306"/>
          <a:ext cx="8188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Análise: </a:t>
          </a:r>
          <a:endParaRPr lang="pt-BR" sz="1400" b="0" i="1"/>
        </a:p>
      </xdr:txBody>
    </xdr:sp>
    <xdr:clientData/>
  </xdr:oneCellAnchor>
  <xdr:twoCellAnchor>
    <xdr:from>
      <xdr:col>53</xdr:col>
      <xdr:colOff>0</xdr:colOff>
      <xdr:row>27</xdr:row>
      <xdr:rowOff>14287</xdr:rowOff>
    </xdr:from>
    <xdr:to>
      <xdr:col>56</xdr:col>
      <xdr:colOff>942975</xdr:colOff>
      <xdr:row>46</xdr:row>
      <xdr:rowOff>0</xdr:rowOff>
    </xdr:to>
    <xdr:graphicFrame macro="">
      <xdr:nvGraphicFramePr>
        <xdr:cNvPr id="34" name="Gráfico 33">
          <a:extLst>
            <a:ext uri="{FF2B5EF4-FFF2-40B4-BE49-F238E27FC236}">
              <a16:creationId xmlns:a16="http://schemas.microsoft.com/office/drawing/2014/main" id="{E281790F-3000-7C2C-BE31-D22155970B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52</xdr:col>
      <xdr:colOff>0</xdr:colOff>
      <xdr:row>47</xdr:row>
      <xdr:rowOff>9717</xdr:rowOff>
    </xdr:from>
    <xdr:to>
      <xdr:col>58</xdr:col>
      <xdr:colOff>0</xdr:colOff>
      <xdr:row>68</xdr:row>
      <xdr:rowOff>179716</xdr:rowOff>
    </xdr:to>
    <xdr:graphicFrame macro="">
      <xdr:nvGraphicFramePr>
        <xdr:cNvPr id="36" name="Gráfico 35">
          <a:extLst>
            <a:ext uri="{FF2B5EF4-FFF2-40B4-BE49-F238E27FC236}">
              <a16:creationId xmlns:a16="http://schemas.microsoft.com/office/drawing/2014/main" id="{24624CA1-503A-4D91-9CE4-396707414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51</xdr:col>
      <xdr:colOff>581185</xdr:colOff>
      <xdr:row>69</xdr:row>
      <xdr:rowOff>113008</xdr:rowOff>
    </xdr:from>
    <xdr:ext cx="1781963" cy="311496"/>
    <xdr:sp macro="" textlink="">
      <xdr:nvSpPr>
        <xdr:cNvPr id="33" name="CaixaDeTexto 32">
          <a:extLst>
            <a:ext uri="{FF2B5EF4-FFF2-40B4-BE49-F238E27FC236}">
              <a16:creationId xmlns:a16="http://schemas.microsoft.com/office/drawing/2014/main" id="{9B05069A-EEB4-42D4-9F08-80E24546E4AA}"/>
            </a:ext>
          </a:extLst>
        </xdr:cNvPr>
        <xdr:cNvSpPr txBox="1"/>
      </xdr:nvSpPr>
      <xdr:spPr>
        <a:xfrm>
          <a:off x="51459215" y="13480296"/>
          <a:ext cx="178196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Conclusão</a:t>
          </a:r>
          <a:r>
            <a:rPr lang="pt-BR" sz="1400" b="1" i="0" baseline="0"/>
            <a:t> e Insights</a:t>
          </a:r>
          <a:r>
            <a:rPr lang="pt-BR" sz="1400" b="1" i="0"/>
            <a:t>: </a:t>
          </a:r>
          <a:endParaRPr lang="pt-BR" sz="1400" b="0" i="1"/>
        </a:p>
      </xdr:txBody>
    </xdr:sp>
    <xdr:clientData/>
  </xdr:oneCellAnchor>
  <xdr:oneCellAnchor>
    <xdr:from>
      <xdr:col>51</xdr:col>
      <xdr:colOff>495942</xdr:colOff>
      <xdr:row>71</xdr:row>
      <xdr:rowOff>106664</xdr:rowOff>
    </xdr:from>
    <xdr:ext cx="12668083" cy="2941446"/>
    <xdr:sp macro="" textlink="">
      <xdr:nvSpPr>
        <xdr:cNvPr id="35" name="CaixaDeTexto 34">
          <a:extLst>
            <a:ext uri="{FF2B5EF4-FFF2-40B4-BE49-F238E27FC236}">
              <a16:creationId xmlns:a16="http://schemas.microsoft.com/office/drawing/2014/main" id="{794FF18C-FFBB-4D14-8AC1-6C1ABCA94038}"/>
            </a:ext>
          </a:extLst>
        </xdr:cNvPr>
        <xdr:cNvSpPr txBox="1"/>
      </xdr:nvSpPr>
      <xdr:spPr>
        <a:xfrm>
          <a:off x="53445417" y="13632164"/>
          <a:ext cx="12668083" cy="29414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0" i="0" baseline="0"/>
            <a:t>Após o período analisado, identificou-se que o Tottenham Hotspur reuniu cerca de </a:t>
          </a:r>
          <a:r>
            <a:rPr lang="pt-BR" sz="1400"/>
            <a:t>£179.8 milhões através das</a:t>
          </a:r>
          <a:r>
            <a:rPr lang="pt-BR" sz="1400" baseline="0"/>
            <a:t> vendas e saídas de jogadores. O valor contrasta</a:t>
          </a:r>
          <a:br>
            <a:rPr lang="pt-BR" sz="1400" baseline="0"/>
          </a:br>
          <a:r>
            <a:rPr lang="pt-BR" sz="1400" baseline="0"/>
            <a:t>significativamente com a quantia de </a:t>
          </a:r>
          <a:r>
            <a:rPr lang="pt-BR" sz="1400">
              <a:solidFill>
                <a:schemeClr val="tx1"/>
              </a:solidFill>
              <a:effectLst/>
              <a:latin typeface="+mn-lt"/>
              <a:ea typeface="+mn-ea"/>
              <a:cs typeface="+mn-cs"/>
            </a:rPr>
            <a:t>£553.2 milhões gasta pelo clube em contratações ao longo do mesmo espaço de tempo, representando aproximadamente</a:t>
          </a:r>
          <a:br>
            <a:rPr lang="pt-BR" sz="1400">
              <a:solidFill>
                <a:schemeClr val="tx1"/>
              </a:solidFill>
              <a:effectLst/>
              <a:latin typeface="+mn-lt"/>
              <a:ea typeface="+mn-ea"/>
              <a:cs typeface="+mn-cs"/>
            </a:rPr>
          </a:br>
          <a:r>
            <a:rPr lang="pt-BR" sz="1400" b="1">
              <a:solidFill>
                <a:schemeClr val="tx1"/>
              </a:solidFill>
              <a:effectLst/>
              <a:latin typeface="+mn-lt"/>
              <a:ea typeface="+mn-ea"/>
              <a:cs typeface="+mn-cs"/>
            </a:rPr>
            <a:t>24,5% </a:t>
          </a:r>
          <a:r>
            <a:rPr lang="pt-BR" sz="1400" b="0">
              <a:solidFill>
                <a:schemeClr val="tx1"/>
              </a:solidFill>
              <a:effectLst/>
              <a:latin typeface="+mn-lt"/>
              <a:ea typeface="+mn-ea"/>
              <a:cs typeface="+mn-cs"/>
            </a:rPr>
            <a:t>do</a:t>
          </a:r>
          <a:r>
            <a:rPr lang="pt-BR" sz="1400" b="0" baseline="0">
              <a:solidFill>
                <a:schemeClr val="tx1"/>
              </a:solidFill>
              <a:effectLst/>
              <a:latin typeface="+mn-lt"/>
              <a:ea typeface="+mn-ea"/>
              <a:cs typeface="+mn-cs"/>
            </a:rPr>
            <a:t> montante aplicado pelo clube no mercado. As despedidas consistiram em atacantes, meio-campistas e defensores </a:t>
          </a:r>
          <a:r>
            <a:rPr lang="pt-BR" sz="1100" b="0" i="0" baseline="0">
              <a:solidFill>
                <a:schemeClr val="tx1"/>
              </a:solidFill>
              <a:effectLst/>
              <a:latin typeface="+mn-lt"/>
              <a:ea typeface="+mn-ea"/>
              <a:cs typeface="+mn-cs"/>
            </a:rPr>
            <a:t>— </a:t>
          </a:r>
          <a:r>
            <a:rPr lang="pt-BR" sz="1400" b="0" i="0" baseline="0">
              <a:solidFill>
                <a:schemeClr val="tx1"/>
              </a:solidFill>
              <a:effectLst/>
              <a:latin typeface="+mn-lt"/>
              <a:ea typeface="+mn-ea"/>
              <a:cs typeface="+mn-cs"/>
            </a:rPr>
            <a:t>espelhando, respectivamente, </a:t>
          </a:r>
          <a:r>
            <a:rPr lang="pt-BR" sz="1400" b="1" i="0" baseline="0">
              <a:solidFill>
                <a:schemeClr val="tx1"/>
              </a:solidFill>
              <a:effectLst/>
              <a:latin typeface="+mn-lt"/>
              <a:ea typeface="+mn-ea"/>
              <a:cs typeface="+mn-cs"/>
            </a:rPr>
            <a:t>70,2%</a:t>
          </a:r>
          <a:r>
            <a:rPr lang="pt-BR" sz="1400" b="0" i="0" baseline="0">
              <a:solidFill>
                <a:schemeClr val="tx1"/>
              </a:solidFill>
              <a:effectLst/>
              <a:latin typeface="+mn-lt"/>
              <a:ea typeface="+mn-ea"/>
              <a:cs typeface="+mn-cs"/>
            </a:rPr>
            <a:t>, </a:t>
          </a:r>
          <a:r>
            <a:rPr lang="pt-BR" sz="1400" b="1" i="0" baseline="0">
              <a:solidFill>
                <a:schemeClr val="tx1"/>
              </a:solidFill>
              <a:effectLst/>
              <a:latin typeface="+mn-lt"/>
              <a:ea typeface="+mn-ea"/>
              <a:cs typeface="+mn-cs"/>
            </a:rPr>
            <a:t>22,5%</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e </a:t>
          </a:r>
          <a:r>
            <a:rPr lang="pt-BR" sz="1400" b="1" i="0" baseline="0">
              <a:solidFill>
                <a:schemeClr val="tx1"/>
              </a:solidFill>
              <a:effectLst/>
              <a:latin typeface="+mn-lt"/>
              <a:ea typeface="+mn-ea"/>
              <a:cs typeface="+mn-cs"/>
            </a:rPr>
            <a:t>7,2% </a:t>
          </a:r>
          <a:r>
            <a:rPr lang="pt-BR" sz="1400" b="0" i="0" baseline="0">
              <a:solidFill>
                <a:schemeClr val="tx1"/>
              </a:solidFill>
              <a:effectLst/>
              <a:latin typeface="+mn-lt"/>
              <a:ea typeface="+mn-ea"/>
              <a:cs typeface="+mn-cs"/>
            </a:rPr>
            <a:t>do total.</a:t>
          </a:r>
          <a:br>
            <a:rPr lang="pt-BR" sz="1400" b="0" i="0" baseline="0"/>
          </a:br>
          <a:endParaRPr lang="pt-BR" sz="1400" b="0" i="0" baseline="0"/>
        </a:p>
        <a:p>
          <a:pPr algn="ctr"/>
          <a:r>
            <a:rPr lang="pt-BR" sz="1400" b="0" i="0" baseline="0"/>
            <a:t>Entre as posições, os atacantes se destacam. Suas saídas renderam </a:t>
          </a:r>
          <a:r>
            <a:rPr lang="pt-BR" sz="1400" b="1">
              <a:solidFill>
                <a:schemeClr val="tx1"/>
              </a:solidFill>
              <a:effectLst/>
              <a:latin typeface="+mn-lt"/>
              <a:ea typeface="+mn-ea"/>
              <a:cs typeface="+mn-cs"/>
            </a:rPr>
            <a:t>£126.3 milhões </a:t>
          </a:r>
          <a:r>
            <a:rPr lang="pt-BR" sz="1400">
              <a:solidFill>
                <a:schemeClr val="tx1"/>
              </a:solidFill>
              <a:effectLst/>
              <a:latin typeface="+mn-lt"/>
              <a:ea typeface="+mn-ea"/>
              <a:cs typeface="+mn-cs"/>
            </a:rPr>
            <a:t>aos cofres do clube,</a:t>
          </a:r>
          <a:r>
            <a:rPr lang="pt-BR" sz="1400" baseline="0">
              <a:solidFill>
                <a:schemeClr val="tx1"/>
              </a:solidFill>
              <a:effectLst/>
              <a:latin typeface="+mn-lt"/>
              <a:ea typeface="+mn-ea"/>
              <a:cs typeface="+mn-cs"/>
            </a:rPr>
            <a:t> valor superior ao dobro da soma entre os meio-campistas e </a:t>
          </a:r>
          <a:br>
            <a:rPr lang="pt-BR" sz="1400" baseline="0">
              <a:solidFill>
                <a:schemeClr val="tx1"/>
              </a:solidFill>
              <a:effectLst/>
              <a:latin typeface="+mn-lt"/>
              <a:ea typeface="+mn-ea"/>
              <a:cs typeface="+mn-cs"/>
            </a:rPr>
          </a:br>
          <a:r>
            <a:rPr lang="pt-BR" sz="1400" baseline="0">
              <a:solidFill>
                <a:schemeClr val="tx1"/>
              </a:solidFill>
              <a:effectLst/>
              <a:latin typeface="+mn-lt"/>
              <a:ea typeface="+mn-ea"/>
              <a:cs typeface="+mn-cs"/>
            </a:rPr>
            <a:t>defensores. Um peso ainda maior vai para Harry Kane </a:t>
          </a:r>
          <a:r>
            <a:rPr lang="pt-BR" sz="1100" b="0" i="0" baseline="0">
              <a:solidFill>
                <a:schemeClr val="tx1"/>
              </a:solidFill>
              <a:effectLst/>
              <a:latin typeface="+mn-lt"/>
              <a:ea typeface="+mn-ea"/>
              <a:cs typeface="+mn-cs"/>
            </a:rPr>
            <a:t>— </a:t>
          </a:r>
          <a:r>
            <a:rPr lang="pt-BR" sz="1400" b="0" i="0" baseline="0">
              <a:solidFill>
                <a:schemeClr val="tx1"/>
              </a:solidFill>
              <a:effectLst/>
              <a:latin typeface="+mn-lt"/>
              <a:ea typeface="+mn-ea"/>
              <a:cs typeface="+mn-cs"/>
            </a:rPr>
            <a:t>sozinho, o inglês gerou </a:t>
          </a:r>
          <a:r>
            <a:rPr lang="pt-BR" sz="1400" b="1">
              <a:solidFill>
                <a:schemeClr val="tx1"/>
              </a:solidFill>
              <a:effectLst/>
              <a:latin typeface="+mn-lt"/>
              <a:ea typeface="+mn-ea"/>
              <a:cs typeface="+mn-cs"/>
            </a:rPr>
            <a:t>£95 milhões</a:t>
          </a:r>
          <a:r>
            <a:rPr lang="pt-BR" sz="1400" b="0">
              <a:solidFill>
                <a:schemeClr val="tx1"/>
              </a:solidFill>
              <a:effectLst/>
              <a:latin typeface="+mn-lt"/>
              <a:ea typeface="+mn-ea"/>
              <a:cs typeface="+mn-cs"/>
            </a:rPr>
            <a:t>, quantia que se sobrepõe à</a:t>
          </a:r>
          <a:r>
            <a:rPr lang="pt-BR" sz="1400" b="0" baseline="0">
              <a:solidFill>
                <a:schemeClr val="tx1"/>
              </a:solidFill>
              <a:effectLst/>
              <a:latin typeface="+mn-lt"/>
              <a:ea typeface="+mn-ea"/>
              <a:cs typeface="+mn-cs"/>
            </a:rPr>
            <a:t> adição dos valores de todos os jogadores</a:t>
          </a:r>
          <a:br>
            <a:rPr lang="pt-BR" sz="1400" b="0" baseline="0">
              <a:solidFill>
                <a:schemeClr val="tx1"/>
              </a:solidFill>
              <a:effectLst/>
              <a:latin typeface="+mn-lt"/>
              <a:ea typeface="+mn-ea"/>
              <a:cs typeface="+mn-cs"/>
            </a:rPr>
          </a:br>
          <a:r>
            <a:rPr lang="pt-BR" sz="1400" b="0" baseline="0">
              <a:solidFill>
                <a:schemeClr val="tx1"/>
              </a:solidFill>
              <a:effectLst/>
              <a:latin typeface="+mn-lt"/>
              <a:ea typeface="+mn-ea"/>
              <a:cs typeface="+mn-cs"/>
            </a:rPr>
            <a:t>restantes e que representa </a:t>
          </a:r>
          <a:r>
            <a:rPr lang="pt-BR" sz="1400" b="1" baseline="0">
              <a:solidFill>
                <a:schemeClr val="tx1"/>
              </a:solidFill>
              <a:effectLst/>
              <a:latin typeface="+mn-lt"/>
              <a:ea typeface="+mn-ea"/>
              <a:cs typeface="+mn-cs"/>
            </a:rPr>
            <a:t>52,8</a:t>
          </a:r>
          <a:r>
            <a:rPr lang="pt-BR" sz="1400" b="0" baseline="0">
              <a:solidFill>
                <a:schemeClr val="tx1"/>
              </a:solidFill>
              <a:effectLst/>
              <a:latin typeface="+mn-lt"/>
              <a:ea typeface="+mn-ea"/>
              <a:cs typeface="+mn-cs"/>
            </a:rPr>
            <a:t>% do retorno financeiro obtido ao longo de seis temporadas</a:t>
          </a:r>
          <a:r>
            <a:rPr lang="pt-BR" sz="1400" b="0">
              <a:solidFill>
                <a:schemeClr val="tx1"/>
              </a:solidFill>
              <a:effectLst/>
              <a:latin typeface="+mn-lt"/>
              <a:ea typeface="+mn-ea"/>
              <a:cs typeface="+mn-cs"/>
            </a:rPr>
            <a:t>. O</a:t>
          </a:r>
          <a:r>
            <a:rPr lang="pt-BR" sz="1400" b="0" baseline="0">
              <a:solidFill>
                <a:schemeClr val="tx1"/>
              </a:solidFill>
              <a:effectLst/>
              <a:latin typeface="+mn-lt"/>
              <a:ea typeface="+mn-ea"/>
              <a:cs typeface="+mn-cs"/>
            </a:rPr>
            <a:t> impacto da categoria torna-se ainda mais visível quando Steve Bergwijn,</a:t>
          </a:r>
          <a:br>
            <a:rPr lang="pt-BR" sz="1400" b="0" baseline="0">
              <a:solidFill>
                <a:schemeClr val="tx1"/>
              </a:solidFill>
              <a:effectLst/>
              <a:latin typeface="+mn-lt"/>
              <a:ea typeface="+mn-ea"/>
              <a:cs typeface="+mn-cs"/>
            </a:rPr>
          </a:br>
          <a:r>
            <a:rPr lang="pt-BR" sz="1400" b="0" baseline="0">
              <a:solidFill>
                <a:schemeClr val="tx1"/>
              </a:solidFill>
              <a:effectLst/>
              <a:latin typeface="+mn-lt"/>
              <a:ea typeface="+mn-ea"/>
              <a:cs typeface="+mn-cs"/>
            </a:rPr>
            <a:t>seu companheiro, entra na equação: a saída do holandês garantiu </a:t>
          </a:r>
          <a:r>
            <a:rPr lang="pt-BR" sz="1400" b="1">
              <a:solidFill>
                <a:schemeClr val="tx1"/>
              </a:solidFill>
              <a:effectLst/>
              <a:latin typeface="+mn-lt"/>
              <a:ea typeface="+mn-ea"/>
              <a:cs typeface="+mn-cs"/>
            </a:rPr>
            <a:t>£31.3 milhões</a:t>
          </a:r>
          <a:r>
            <a:rPr lang="pt-BR" sz="1400" b="0">
              <a:solidFill>
                <a:schemeClr val="tx1"/>
              </a:solidFill>
              <a:effectLst/>
              <a:latin typeface="+mn-lt"/>
              <a:ea typeface="+mn-ea"/>
              <a:cs typeface="+mn-cs"/>
            </a:rPr>
            <a:t> para a equipe, superando</a:t>
          </a:r>
          <a:r>
            <a:rPr lang="pt-BR" sz="1400" b="0" baseline="0">
              <a:solidFill>
                <a:schemeClr val="tx1"/>
              </a:solidFill>
              <a:effectLst/>
              <a:latin typeface="+mn-lt"/>
              <a:ea typeface="+mn-ea"/>
              <a:cs typeface="+mn-cs"/>
            </a:rPr>
            <a:t> individualmente o preço de ambos os atletas responsáveis pela</a:t>
          </a:r>
          <a:br>
            <a:rPr lang="pt-BR" sz="1400" b="0" baseline="0">
              <a:solidFill>
                <a:schemeClr val="tx1"/>
              </a:solidFill>
              <a:effectLst/>
              <a:latin typeface="+mn-lt"/>
              <a:ea typeface="+mn-ea"/>
              <a:cs typeface="+mn-cs"/>
            </a:rPr>
          </a:br>
          <a:r>
            <a:rPr lang="pt-BR" sz="1400" b="0" baseline="0">
              <a:solidFill>
                <a:schemeClr val="tx1"/>
              </a:solidFill>
              <a:effectLst/>
              <a:latin typeface="+mn-lt"/>
              <a:ea typeface="+mn-ea"/>
              <a:cs typeface="+mn-cs"/>
            </a:rPr>
            <a:t>administração do meio-campo, sendo eles Christian Eriksen e Pierre-Emile Højbjerg.</a:t>
          </a:r>
          <a:br>
            <a:rPr lang="pt-BR" sz="1400" b="0" baseline="0">
              <a:solidFill>
                <a:schemeClr val="tx1"/>
              </a:solidFill>
              <a:effectLst/>
              <a:latin typeface="+mn-lt"/>
              <a:ea typeface="+mn-ea"/>
              <a:cs typeface="+mn-cs"/>
            </a:rPr>
          </a:br>
          <a:br>
            <a:rPr lang="pt-BR" sz="1400" b="0" baseline="0">
              <a:solidFill>
                <a:schemeClr val="tx1"/>
              </a:solidFill>
              <a:effectLst/>
              <a:latin typeface="+mn-lt"/>
              <a:ea typeface="+mn-ea"/>
              <a:cs typeface="+mn-cs"/>
            </a:rPr>
          </a:br>
          <a:r>
            <a:rPr lang="pt-BR" sz="1400" b="0" baseline="0">
              <a:solidFill>
                <a:schemeClr val="tx1"/>
              </a:solidFill>
              <a:effectLst/>
              <a:latin typeface="+mn-lt"/>
              <a:ea typeface="+mn-ea"/>
              <a:cs typeface="+mn-cs"/>
            </a:rPr>
            <a:t>Em resumo, os </a:t>
          </a:r>
          <a:r>
            <a:rPr lang="pt-BR" sz="1400" b="1" baseline="0">
              <a:solidFill>
                <a:schemeClr val="tx1"/>
              </a:solidFill>
              <a:effectLst/>
              <a:latin typeface="+mn-lt"/>
              <a:ea typeface="+mn-ea"/>
              <a:cs typeface="+mn-cs"/>
            </a:rPr>
            <a:t>atacantes</a:t>
          </a:r>
          <a:r>
            <a:rPr lang="pt-BR" sz="1400" b="0" baseline="0">
              <a:solidFill>
                <a:schemeClr val="tx1"/>
              </a:solidFill>
              <a:effectLst/>
              <a:latin typeface="+mn-lt"/>
              <a:ea typeface="+mn-ea"/>
              <a:cs typeface="+mn-cs"/>
            </a:rPr>
            <a:t> geraram maior retorno financeiro ao Tottenham Hotspur. Baseando-se na base de dados atual, não é possível identificar a razão por trás da</a:t>
          </a:r>
          <a:br>
            <a:rPr lang="pt-BR" sz="1400" b="0" baseline="0">
              <a:solidFill>
                <a:schemeClr val="tx1"/>
              </a:solidFill>
              <a:effectLst/>
              <a:latin typeface="+mn-lt"/>
              <a:ea typeface="+mn-ea"/>
              <a:cs typeface="+mn-cs"/>
            </a:rPr>
          </a:br>
          <a:r>
            <a:rPr lang="pt-BR" sz="1400" b="0" baseline="0">
              <a:solidFill>
                <a:schemeClr val="tx1"/>
              </a:solidFill>
              <a:effectLst/>
              <a:latin typeface="+mn-lt"/>
              <a:ea typeface="+mn-ea"/>
              <a:cs typeface="+mn-cs"/>
            </a:rPr>
            <a:t>valorização dos mesmos.</a:t>
          </a:r>
          <a:endParaRPr lang="pt-BR" sz="1400" b="0" i="0" baseline="0"/>
        </a:p>
      </xdr:txBody>
    </xdr:sp>
    <xdr:clientData/>
  </xdr:oneCellAnchor>
  <xdr:oneCellAnchor>
    <xdr:from>
      <xdr:col>64</xdr:col>
      <xdr:colOff>690801</xdr:colOff>
      <xdr:row>6</xdr:row>
      <xdr:rowOff>179894</xdr:rowOff>
    </xdr:from>
    <xdr:ext cx="1527021" cy="405432"/>
    <xdr:sp macro="" textlink="">
      <xdr:nvSpPr>
        <xdr:cNvPr id="37" name="CaixaDeTexto 36">
          <a:extLst>
            <a:ext uri="{FF2B5EF4-FFF2-40B4-BE49-F238E27FC236}">
              <a16:creationId xmlns:a16="http://schemas.microsoft.com/office/drawing/2014/main" id="{A05B3AC1-D0C5-4D40-9153-DA77CE942B48}"/>
            </a:ext>
          </a:extLst>
        </xdr:cNvPr>
        <xdr:cNvSpPr txBox="1"/>
      </xdr:nvSpPr>
      <xdr:spPr>
        <a:xfrm>
          <a:off x="71167142" y="1322894"/>
          <a:ext cx="152702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baseline="0"/>
            <a:t>6. Conclusão</a:t>
          </a:r>
        </a:p>
      </xdr:txBody>
    </xdr:sp>
    <xdr:clientData/>
  </xdr:oneCellAnchor>
  <xdr:oneCellAnchor>
    <xdr:from>
      <xdr:col>61</xdr:col>
      <xdr:colOff>1302238</xdr:colOff>
      <xdr:row>8</xdr:row>
      <xdr:rowOff>127911</xdr:rowOff>
    </xdr:from>
    <xdr:ext cx="8815876" cy="530658"/>
    <xdr:sp macro="" textlink="">
      <xdr:nvSpPr>
        <xdr:cNvPr id="38" name="CaixaDeTexto 37">
          <a:extLst>
            <a:ext uri="{FF2B5EF4-FFF2-40B4-BE49-F238E27FC236}">
              <a16:creationId xmlns:a16="http://schemas.microsoft.com/office/drawing/2014/main" id="{679200D7-A3DE-4C25-99CE-17C6913BB572}"/>
            </a:ext>
          </a:extLst>
        </xdr:cNvPr>
        <xdr:cNvSpPr txBox="1"/>
      </xdr:nvSpPr>
      <xdr:spPr>
        <a:xfrm>
          <a:off x="67466352" y="1651911"/>
          <a:ext cx="881587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Pergunta de Negócio: </a:t>
          </a:r>
          <a:r>
            <a:rPr lang="pt-BR" sz="1400" b="0" i="1"/>
            <a:t>Quais características</a:t>
          </a:r>
          <a:r>
            <a:rPr lang="pt-BR" sz="1400" b="0" i="1" baseline="0"/>
            <a:t> definiram a estratégia do Tottenham Hotspur no mercado de transferências</a:t>
          </a:r>
          <a:br>
            <a:rPr lang="pt-BR" sz="1400" b="0" i="1" baseline="0"/>
          </a:br>
          <a:r>
            <a:rPr lang="pt-BR" sz="1400" b="0" i="1" baseline="0"/>
            <a:t>entre as temporadas 2019/20 até 2024/25?</a:t>
          </a:r>
          <a:endParaRPr lang="pt-BR" sz="1400" b="0" i="1"/>
        </a:p>
      </xdr:txBody>
    </xdr:sp>
    <xdr:clientData/>
  </xdr:oneCellAnchor>
  <xdr:oneCellAnchor>
    <xdr:from>
      <xdr:col>61</xdr:col>
      <xdr:colOff>1313446</xdr:colOff>
      <xdr:row>12</xdr:row>
      <xdr:rowOff>125801</xdr:rowOff>
    </xdr:from>
    <xdr:ext cx="1013483" cy="311496"/>
    <xdr:sp macro="" textlink="">
      <xdr:nvSpPr>
        <xdr:cNvPr id="39" name="CaixaDeTexto 38">
          <a:extLst>
            <a:ext uri="{FF2B5EF4-FFF2-40B4-BE49-F238E27FC236}">
              <a16:creationId xmlns:a16="http://schemas.microsoft.com/office/drawing/2014/main" id="{55A26890-609E-40CD-8A3E-802A9AC8F926}"/>
            </a:ext>
          </a:extLst>
        </xdr:cNvPr>
        <xdr:cNvSpPr txBox="1"/>
      </xdr:nvSpPr>
      <xdr:spPr>
        <a:xfrm>
          <a:off x="67620026" y="2390235"/>
          <a:ext cx="10134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Evidências:</a:t>
          </a:r>
          <a:endParaRPr lang="pt-BR" sz="1400" b="0" i="1"/>
        </a:p>
      </xdr:txBody>
    </xdr:sp>
    <xdr:clientData/>
  </xdr:oneCellAnchor>
  <xdr:oneCellAnchor>
    <xdr:from>
      <xdr:col>61</xdr:col>
      <xdr:colOff>1318427</xdr:colOff>
      <xdr:row>14</xdr:row>
      <xdr:rowOff>152758</xdr:rowOff>
    </xdr:from>
    <xdr:ext cx="323615" cy="311496"/>
    <xdr:sp macro="" textlink="">
      <xdr:nvSpPr>
        <xdr:cNvPr id="40" name="CaixaDeTexto 39">
          <a:extLst>
            <a:ext uri="{FF2B5EF4-FFF2-40B4-BE49-F238E27FC236}">
              <a16:creationId xmlns:a16="http://schemas.microsoft.com/office/drawing/2014/main" id="{D99A57C2-1A06-425C-99E3-E928AC0EEC47}"/>
            </a:ext>
          </a:extLst>
        </xdr:cNvPr>
        <xdr:cNvSpPr txBox="1"/>
      </xdr:nvSpPr>
      <xdr:spPr>
        <a:xfrm>
          <a:off x="67625007" y="2794598"/>
          <a:ext cx="3236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1.</a:t>
          </a:r>
        </a:p>
      </xdr:txBody>
    </xdr:sp>
    <xdr:clientData/>
  </xdr:oneCellAnchor>
  <xdr:oneCellAnchor>
    <xdr:from>
      <xdr:col>61</xdr:col>
      <xdr:colOff>1305030</xdr:colOff>
      <xdr:row>18</xdr:row>
      <xdr:rowOff>127598</xdr:rowOff>
    </xdr:from>
    <xdr:ext cx="323615" cy="311496"/>
    <xdr:sp macro="" textlink="">
      <xdr:nvSpPr>
        <xdr:cNvPr id="41" name="CaixaDeTexto 40">
          <a:extLst>
            <a:ext uri="{FF2B5EF4-FFF2-40B4-BE49-F238E27FC236}">
              <a16:creationId xmlns:a16="http://schemas.microsoft.com/office/drawing/2014/main" id="{8A89519C-77FC-4092-8894-B0F46E9A76A6}"/>
            </a:ext>
          </a:extLst>
        </xdr:cNvPr>
        <xdr:cNvSpPr txBox="1"/>
      </xdr:nvSpPr>
      <xdr:spPr>
        <a:xfrm>
          <a:off x="67460485" y="3565257"/>
          <a:ext cx="3236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2.</a:t>
          </a:r>
        </a:p>
      </xdr:txBody>
    </xdr:sp>
    <xdr:clientData/>
  </xdr:oneCellAnchor>
  <xdr:oneCellAnchor>
    <xdr:from>
      <xdr:col>61</xdr:col>
      <xdr:colOff>1305030</xdr:colOff>
      <xdr:row>22</xdr:row>
      <xdr:rowOff>127598</xdr:rowOff>
    </xdr:from>
    <xdr:ext cx="323615" cy="311496"/>
    <xdr:sp macro="" textlink="">
      <xdr:nvSpPr>
        <xdr:cNvPr id="42" name="CaixaDeTexto 41">
          <a:extLst>
            <a:ext uri="{FF2B5EF4-FFF2-40B4-BE49-F238E27FC236}">
              <a16:creationId xmlns:a16="http://schemas.microsoft.com/office/drawing/2014/main" id="{453269F0-11F9-4971-A436-A9BEDAACC788}"/>
            </a:ext>
          </a:extLst>
        </xdr:cNvPr>
        <xdr:cNvSpPr txBox="1"/>
      </xdr:nvSpPr>
      <xdr:spPr>
        <a:xfrm>
          <a:off x="67469144" y="4335916"/>
          <a:ext cx="3236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3.</a:t>
          </a:r>
        </a:p>
      </xdr:txBody>
    </xdr:sp>
    <xdr:clientData/>
  </xdr:oneCellAnchor>
  <xdr:oneCellAnchor>
    <xdr:from>
      <xdr:col>61</xdr:col>
      <xdr:colOff>1327544</xdr:colOff>
      <xdr:row>26</xdr:row>
      <xdr:rowOff>124134</xdr:rowOff>
    </xdr:from>
    <xdr:ext cx="323615" cy="311496"/>
    <xdr:sp macro="" textlink="">
      <xdr:nvSpPr>
        <xdr:cNvPr id="43" name="CaixaDeTexto 42">
          <a:extLst>
            <a:ext uri="{FF2B5EF4-FFF2-40B4-BE49-F238E27FC236}">
              <a16:creationId xmlns:a16="http://schemas.microsoft.com/office/drawing/2014/main" id="{AE75D060-754E-4F9C-8871-D7844C116DDC}"/>
            </a:ext>
          </a:extLst>
        </xdr:cNvPr>
        <xdr:cNvSpPr txBox="1"/>
      </xdr:nvSpPr>
      <xdr:spPr>
        <a:xfrm>
          <a:off x="67491658" y="5103111"/>
          <a:ext cx="3236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4.</a:t>
          </a:r>
        </a:p>
      </xdr:txBody>
    </xdr:sp>
    <xdr:clientData/>
  </xdr:oneCellAnchor>
  <xdr:oneCellAnchor>
    <xdr:from>
      <xdr:col>61</xdr:col>
      <xdr:colOff>1315421</xdr:colOff>
      <xdr:row>30</xdr:row>
      <xdr:rowOff>146649</xdr:rowOff>
    </xdr:from>
    <xdr:ext cx="323615" cy="311496"/>
    <xdr:sp macro="" textlink="">
      <xdr:nvSpPr>
        <xdr:cNvPr id="44" name="CaixaDeTexto 43">
          <a:extLst>
            <a:ext uri="{FF2B5EF4-FFF2-40B4-BE49-F238E27FC236}">
              <a16:creationId xmlns:a16="http://schemas.microsoft.com/office/drawing/2014/main" id="{9B0C7E65-58CB-46DB-8C54-63E085A68A71}"/>
            </a:ext>
          </a:extLst>
        </xdr:cNvPr>
        <xdr:cNvSpPr txBox="1"/>
      </xdr:nvSpPr>
      <xdr:spPr>
        <a:xfrm>
          <a:off x="67479535" y="5896285"/>
          <a:ext cx="3236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5.</a:t>
          </a:r>
        </a:p>
      </xdr:txBody>
    </xdr:sp>
    <xdr:clientData/>
  </xdr:oneCellAnchor>
  <xdr:oneCellAnchor>
    <xdr:from>
      <xdr:col>61</xdr:col>
      <xdr:colOff>1305995</xdr:colOff>
      <xdr:row>34</xdr:row>
      <xdr:rowOff>146568</xdr:rowOff>
    </xdr:from>
    <xdr:ext cx="884216" cy="311496"/>
    <xdr:sp macro="" textlink="">
      <xdr:nvSpPr>
        <xdr:cNvPr id="45" name="CaixaDeTexto 44">
          <a:extLst>
            <a:ext uri="{FF2B5EF4-FFF2-40B4-BE49-F238E27FC236}">
              <a16:creationId xmlns:a16="http://schemas.microsoft.com/office/drawing/2014/main" id="{268DAF49-0C02-48AB-B8BB-D0B8A7C661EF}"/>
            </a:ext>
          </a:extLst>
        </xdr:cNvPr>
        <xdr:cNvSpPr txBox="1"/>
      </xdr:nvSpPr>
      <xdr:spPr>
        <a:xfrm>
          <a:off x="67726995" y="6676485"/>
          <a:ext cx="88421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1" i="0"/>
            <a:t>Veredito:</a:t>
          </a:r>
          <a:endParaRPr lang="pt-BR" sz="1400" b="0" i="1"/>
        </a:p>
      </xdr:txBody>
    </xdr:sp>
    <xdr:clientData/>
  </xdr:oneCellAnchor>
  <xdr:oneCellAnchor>
    <xdr:from>
      <xdr:col>61</xdr:col>
      <xdr:colOff>727205</xdr:colOff>
      <xdr:row>36</xdr:row>
      <xdr:rowOff>87718</xdr:rowOff>
    </xdr:from>
    <xdr:ext cx="13856999" cy="8201348"/>
    <xdr:sp macro="" textlink="">
      <xdr:nvSpPr>
        <xdr:cNvPr id="46" name="CaixaDeTexto 45">
          <a:extLst>
            <a:ext uri="{FF2B5EF4-FFF2-40B4-BE49-F238E27FC236}">
              <a16:creationId xmlns:a16="http://schemas.microsoft.com/office/drawing/2014/main" id="{05105D5E-6C37-40B9-AE87-DE1276453FB9}"/>
            </a:ext>
          </a:extLst>
        </xdr:cNvPr>
        <xdr:cNvSpPr txBox="1"/>
      </xdr:nvSpPr>
      <xdr:spPr>
        <a:xfrm>
          <a:off x="66907400" y="6829439"/>
          <a:ext cx="13856999" cy="8201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400" b="0" i="0" baseline="0"/>
            <a:t>A análise financeira das movimentações no mercado de transferências de atletas realizadas pelo Tottenham Hotspur entre as temporadas 2019/20 e 2024/25 sugere que</a:t>
          </a:r>
          <a:br>
            <a:rPr lang="pt-BR" sz="1400" b="0" i="0" baseline="0"/>
          </a:br>
          <a:r>
            <a:rPr lang="pt-BR" sz="1400" b="0" i="0" baseline="0"/>
            <a:t>o clube tenha adotado uma postura </a:t>
          </a:r>
          <a:r>
            <a:rPr lang="pt-BR" sz="1400" b="1" i="0" baseline="0"/>
            <a:t>incisiva</a:t>
          </a:r>
          <a:r>
            <a:rPr lang="pt-BR" sz="1400" b="0" i="0" baseline="0"/>
            <a:t> no que diz respeito à contratações — uma vez que </a:t>
          </a:r>
          <a:r>
            <a:rPr lang="pt-BR" sz="1400" b="1" i="0" baseline="0"/>
            <a:t>£553.2 milhões </a:t>
          </a:r>
          <a:r>
            <a:rPr lang="pt-BR" sz="1400" b="0" i="0" baseline="0"/>
            <a:t>foram investidos em jogadores durante o período. Esse</a:t>
          </a:r>
          <a:br>
            <a:rPr lang="pt-BR" sz="1400" b="0" i="0" baseline="0"/>
          </a:br>
          <a:r>
            <a:rPr lang="pt-BR" sz="1400" b="0" i="0" baseline="0"/>
            <a:t> valor contrasta-se significativamente com os </a:t>
          </a:r>
          <a:r>
            <a:rPr lang="pt-BR" sz="1400" b="1" i="0" baseline="0"/>
            <a:t>£179.8 milhões </a:t>
          </a:r>
          <a:r>
            <a:rPr lang="pt-BR" sz="1400" b="0" i="0" baseline="0"/>
            <a:t>provenientes das saídas de atletas, onde 52,8% deste montante representava apenas um atleta: Harry Kane.</a:t>
          </a:r>
          <a:br>
            <a:rPr lang="pt-BR" sz="1400" b="0" i="0" baseline="0"/>
          </a:br>
          <a:r>
            <a:rPr lang="pt-BR" sz="1400" b="0" i="0" baseline="0"/>
            <a:t>Os fatos apresentados reforçam o indicativo de que a equipe assumiu uma identidade </a:t>
          </a:r>
          <a:r>
            <a:rPr lang="pt-BR" sz="1400" b="1" i="0" baseline="0"/>
            <a:t>compradora</a:t>
          </a:r>
          <a:r>
            <a:rPr lang="pt-BR" sz="1400" b="0" i="0" baseline="0">
              <a:solidFill>
                <a:schemeClr val="tx1"/>
              </a:solidFill>
              <a:effectLst/>
              <a:latin typeface="+mn-lt"/>
              <a:ea typeface="+mn-ea"/>
              <a:cs typeface="+mn-cs"/>
            </a:rPr>
            <a:t>, principalmente quando alinhados ao déficit de </a:t>
          </a:r>
          <a:r>
            <a:rPr lang="pt-BR" sz="1400" b="1" i="0" baseline="0">
              <a:solidFill>
                <a:schemeClr val="tx1"/>
              </a:solidFill>
              <a:effectLst/>
              <a:latin typeface="+mn-lt"/>
              <a:ea typeface="+mn-ea"/>
              <a:cs typeface="+mn-cs"/>
            </a:rPr>
            <a:t>-£373.4 milhões</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registrado durante o período.</a:t>
          </a:r>
          <a:br>
            <a:rPr lang="pt-BR" sz="1400" b="0" i="0" baseline="0"/>
          </a:br>
          <a:endParaRPr lang="pt-BR" sz="1400" b="0" i="0" baseline="0"/>
        </a:p>
        <a:p>
          <a:pPr marL="0" marR="0" lvl="0" indent="0" algn="ctr" defTabSz="914400" eaLnBrk="1" fontAlgn="auto" latinLnBrk="0" hangingPunct="1">
            <a:lnSpc>
              <a:spcPct val="100000"/>
            </a:lnSpc>
            <a:spcBef>
              <a:spcPts val="0"/>
            </a:spcBef>
            <a:spcAft>
              <a:spcPts val="0"/>
            </a:spcAft>
            <a:buClrTx/>
            <a:buSzTx/>
            <a:buFontTx/>
            <a:buNone/>
            <a:tabLst/>
            <a:defRPr/>
          </a:pPr>
          <a:r>
            <a:rPr lang="pt-BR" sz="1400" b="0" baseline="0">
              <a:solidFill>
                <a:schemeClr val="tx1"/>
              </a:solidFill>
              <a:effectLst/>
              <a:latin typeface="+mn-lt"/>
              <a:ea typeface="+mn-ea"/>
              <a:cs typeface="+mn-cs"/>
            </a:rPr>
            <a:t>O investimento do Tottenham Hotspur foi distribuído entre meio-campistas, atacantes e defensores </a:t>
          </a:r>
          <a:r>
            <a:rPr lang="pt-BR" sz="1400" b="0" i="0" baseline="0">
              <a:solidFill>
                <a:schemeClr val="tx1"/>
              </a:solidFill>
              <a:effectLst/>
              <a:latin typeface="+mn-lt"/>
              <a:ea typeface="+mn-ea"/>
              <a:cs typeface="+mn-cs"/>
            </a:rPr>
            <a:t>—</a:t>
          </a:r>
          <a:r>
            <a:rPr lang="pt-BR" sz="1100" b="0" i="0" baseline="0">
              <a:solidFill>
                <a:schemeClr val="tx1"/>
              </a:solidFill>
              <a:effectLst/>
              <a:latin typeface="+mn-lt"/>
              <a:ea typeface="+mn-ea"/>
              <a:cs typeface="+mn-cs"/>
            </a:rPr>
            <a:t> </a:t>
          </a:r>
          <a:r>
            <a:rPr lang="pt-BR" sz="1400" b="0" i="0" baseline="0">
              <a:solidFill>
                <a:schemeClr val="tx1"/>
              </a:solidFill>
              <a:effectLst/>
              <a:latin typeface="+mn-lt"/>
              <a:ea typeface="+mn-ea"/>
              <a:cs typeface="+mn-cs"/>
            </a:rPr>
            <a:t>representando, respectivamente, </a:t>
          </a:r>
          <a:r>
            <a:rPr lang="pt-BR" sz="1400" b="1" i="0" baseline="0">
              <a:solidFill>
                <a:schemeClr val="tx1"/>
              </a:solidFill>
              <a:effectLst/>
              <a:latin typeface="+mn-lt"/>
              <a:ea typeface="+mn-ea"/>
              <a:cs typeface="+mn-cs"/>
            </a:rPr>
            <a:t>38,7%</a:t>
          </a:r>
          <a:r>
            <a:rPr lang="pt-BR" sz="1400" b="0" i="0" baseline="0">
              <a:solidFill>
                <a:schemeClr val="tx1"/>
              </a:solidFill>
              <a:effectLst/>
              <a:latin typeface="+mn-lt"/>
              <a:ea typeface="+mn-ea"/>
              <a:cs typeface="+mn-cs"/>
            </a:rPr>
            <a:t>; </a:t>
          </a:r>
          <a:r>
            <a:rPr lang="pt-BR" sz="1400" b="1" i="0" baseline="0">
              <a:solidFill>
                <a:schemeClr val="tx1"/>
              </a:solidFill>
              <a:effectLst/>
              <a:latin typeface="+mn-lt"/>
              <a:ea typeface="+mn-ea"/>
              <a:cs typeface="+mn-cs"/>
            </a:rPr>
            <a:t>36,2%</a:t>
          </a:r>
          <a:r>
            <a:rPr lang="pt-BR" sz="1400" b="0" i="0" baseline="0">
              <a:solidFill>
                <a:schemeClr val="tx1"/>
              </a:solidFill>
              <a:effectLst/>
              <a:latin typeface="+mn-lt"/>
              <a:ea typeface="+mn-ea"/>
              <a:cs typeface="+mn-cs"/>
            </a:rPr>
            <a:t> e </a:t>
          </a:r>
          <a:r>
            <a:rPr lang="pt-BR" sz="1400" b="1" i="0" baseline="0">
              <a:solidFill>
                <a:schemeClr val="tx1"/>
              </a:solidFill>
              <a:effectLst/>
              <a:latin typeface="+mn-lt"/>
              <a:ea typeface="+mn-ea"/>
              <a:cs typeface="+mn-cs"/>
            </a:rPr>
            <a:t>25,1% </a:t>
          </a:r>
          <a:r>
            <a:rPr lang="pt-BR" sz="1400" b="0" i="0" baseline="0">
              <a:solidFill>
                <a:schemeClr val="tx1"/>
              </a:solidFill>
              <a:effectLst/>
              <a:latin typeface="+mn-lt"/>
              <a:ea typeface="+mn-ea"/>
              <a:cs typeface="+mn-cs"/>
            </a:rPr>
            <a:t>do total.</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Os dados indicam que o clube possivelmente tenha desbravado o mercado de transferências visando jogadores com perfis </a:t>
          </a:r>
          <a:r>
            <a:rPr lang="pt-BR" sz="1400" b="1" i="0" baseline="0">
              <a:solidFill>
                <a:schemeClr val="tx1"/>
              </a:solidFill>
              <a:effectLst/>
              <a:latin typeface="+mn-lt"/>
              <a:ea typeface="+mn-ea"/>
              <a:cs typeface="+mn-cs"/>
            </a:rPr>
            <a:t>ofensivos</a:t>
          </a:r>
          <a:r>
            <a:rPr lang="pt-BR" sz="1400" b="0" i="0" baseline="0">
              <a:solidFill>
                <a:schemeClr val="tx1"/>
              </a:solidFill>
              <a:effectLst/>
              <a:latin typeface="+mn-lt"/>
              <a:ea typeface="+mn-ea"/>
              <a:cs typeface="+mn-cs"/>
            </a:rPr>
            <a:t> e que </a:t>
          </a:r>
          <a:r>
            <a:rPr lang="pt-BR" sz="1400" b="1" i="0" baseline="0">
              <a:solidFill>
                <a:schemeClr val="tx1"/>
              </a:solidFill>
              <a:effectLst/>
              <a:latin typeface="+mn-lt"/>
              <a:ea typeface="+mn-ea"/>
              <a:cs typeface="+mn-cs"/>
            </a:rPr>
            <a:t>controlem</a:t>
          </a:r>
          <a:r>
            <a:rPr lang="pt-BR" sz="1400" b="0" i="0" baseline="0">
              <a:solidFill>
                <a:schemeClr val="tx1"/>
              </a:solidFill>
              <a:effectLst/>
              <a:latin typeface="+mn-lt"/>
              <a:ea typeface="+mn-ea"/>
              <a:cs typeface="+mn-cs"/>
            </a:rPr>
            <a:t> o setor do meio-campo,</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visto que, juntas, suas posições compõem aproximadamente </a:t>
          </a:r>
          <a:r>
            <a:rPr lang="pt-BR" sz="1400" b="1" i="0" baseline="0">
              <a:solidFill>
                <a:schemeClr val="tx1"/>
              </a:solidFill>
              <a:effectLst/>
              <a:latin typeface="+mn-lt"/>
              <a:ea typeface="+mn-ea"/>
              <a:cs typeface="+mn-cs"/>
            </a:rPr>
            <a:t>75</a:t>
          </a:r>
          <a:r>
            <a:rPr lang="pt-BR" sz="1400" b="0" i="0" baseline="0">
              <a:solidFill>
                <a:schemeClr val="tx1"/>
              </a:solidFill>
              <a:effectLst/>
              <a:latin typeface="+mn-lt"/>
              <a:ea typeface="+mn-ea"/>
              <a:cs typeface="+mn-cs"/>
            </a:rPr>
            <a:t>% das entradas.</a:t>
          </a:r>
          <a:br>
            <a:rPr lang="pt-BR" sz="1400" b="0" i="0" baseline="0">
              <a:solidFill>
                <a:schemeClr val="tx1"/>
              </a:solidFill>
              <a:effectLst/>
              <a:latin typeface="+mn-lt"/>
              <a:ea typeface="+mn-ea"/>
              <a:cs typeface="+mn-cs"/>
            </a:rPr>
          </a:b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Em relação ao perfil etário das contratações, identificou-se que </a:t>
          </a:r>
          <a:r>
            <a:rPr lang="pt-BR" sz="1400" b="1" i="0" baseline="0">
              <a:solidFill>
                <a:schemeClr val="tx1"/>
              </a:solidFill>
              <a:effectLst/>
              <a:latin typeface="+mn-lt"/>
              <a:ea typeface="+mn-ea"/>
              <a:cs typeface="+mn-cs"/>
            </a:rPr>
            <a:t>69%</a:t>
          </a:r>
          <a:r>
            <a:rPr lang="pt-BR" sz="1400" b="0" i="0" baseline="0">
              <a:solidFill>
                <a:schemeClr val="tx1"/>
              </a:solidFill>
              <a:effectLst/>
              <a:latin typeface="+mn-lt"/>
              <a:ea typeface="+mn-ea"/>
              <a:cs typeface="+mn-cs"/>
            </a:rPr>
            <a:t> dos atletas eram jovens que possuíam entre 21 e 25 anos, enquanto </a:t>
          </a:r>
          <a:r>
            <a:rPr lang="pt-BR" sz="1400" b="1" i="0" baseline="0">
              <a:solidFill>
                <a:schemeClr val="tx1"/>
              </a:solidFill>
              <a:effectLst/>
              <a:latin typeface="+mn-lt"/>
              <a:ea typeface="+mn-ea"/>
              <a:cs typeface="+mn-cs"/>
            </a:rPr>
            <a:t>19% </a:t>
          </a:r>
          <a:r>
            <a:rPr lang="pt-BR" sz="1400" b="0" i="0" baseline="0">
              <a:solidFill>
                <a:schemeClr val="tx1"/>
              </a:solidFill>
              <a:effectLst/>
              <a:latin typeface="+mn-lt"/>
              <a:ea typeface="+mn-ea"/>
              <a:cs typeface="+mn-cs"/>
            </a:rPr>
            <a:t>concentravam-se em jogadores</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experientes, dos 26 aos 30 anos. Ativos muito jovens ou veteranos também marcaram presença, registrando </a:t>
          </a:r>
          <a:r>
            <a:rPr lang="pt-BR" sz="1400" b="1" i="0" baseline="0">
              <a:solidFill>
                <a:schemeClr val="tx1"/>
              </a:solidFill>
              <a:effectLst/>
              <a:latin typeface="+mn-lt"/>
              <a:ea typeface="+mn-ea"/>
              <a:cs typeface="+mn-cs"/>
            </a:rPr>
            <a:t>6% </a:t>
          </a:r>
          <a:r>
            <a:rPr lang="pt-BR" sz="1400" b="0" i="0" baseline="0">
              <a:solidFill>
                <a:schemeClr val="tx1"/>
              </a:solidFill>
              <a:effectLst/>
              <a:latin typeface="+mn-lt"/>
              <a:ea typeface="+mn-ea"/>
              <a:cs typeface="+mn-cs"/>
            </a:rPr>
            <a:t>cada. Embora os dados tenham apresentado um distanciamento</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similar entre as duas categorias "extremas" citadas anteriormente e o restante do conjunto, uma delas tornou-se fundamental para compreender o comportamento do Tottenham</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Hotspur: a faixa etária batizada de </a:t>
          </a:r>
          <a:r>
            <a:rPr lang="pt-BR" sz="1400" b="1" i="0" baseline="0">
              <a:solidFill>
                <a:schemeClr val="tx1"/>
              </a:solidFill>
              <a:effectLst/>
              <a:latin typeface="+mn-lt"/>
              <a:ea typeface="+mn-ea"/>
              <a:cs typeface="+mn-cs"/>
            </a:rPr>
            <a:t>muito jovem</a:t>
          </a:r>
          <a:r>
            <a:rPr lang="pt-BR" sz="1400" b="0" i="0" baseline="0">
              <a:solidFill>
                <a:schemeClr val="tx1"/>
              </a:solidFill>
              <a:effectLst/>
              <a:latin typeface="+mn-lt"/>
              <a:ea typeface="+mn-ea"/>
              <a:cs typeface="+mn-cs"/>
            </a:rPr>
            <a:t> (16 até 20 anos)</a:t>
          </a:r>
          <a:r>
            <a:rPr lang="pt-BR" sz="1400" b="1" i="0" baseline="0">
              <a:solidFill>
                <a:schemeClr val="tx1"/>
              </a:solidFill>
              <a:effectLst/>
              <a:latin typeface="+mn-lt"/>
              <a:ea typeface="+mn-ea"/>
              <a:cs typeface="+mn-cs"/>
            </a:rPr>
            <a:t> </a:t>
          </a:r>
          <a:r>
            <a:rPr lang="pt-BR" sz="1400" b="0" i="0" baseline="0">
              <a:solidFill>
                <a:schemeClr val="tx1"/>
              </a:solidFill>
              <a:effectLst/>
              <a:latin typeface="+mn-lt"/>
              <a:ea typeface="+mn-ea"/>
              <a:cs typeface="+mn-cs"/>
            </a:rPr>
            <a:t>e que conta com apenas um jogador, sendo ele Archie Gray. Somando-a à categoria </a:t>
          </a:r>
          <a:r>
            <a:rPr lang="pt-BR" sz="1400" b="1" i="0" baseline="0">
              <a:solidFill>
                <a:schemeClr val="tx1"/>
              </a:solidFill>
              <a:effectLst/>
              <a:latin typeface="+mn-lt"/>
              <a:ea typeface="+mn-ea"/>
              <a:cs typeface="+mn-cs"/>
            </a:rPr>
            <a:t>jovem</a:t>
          </a:r>
          <a:r>
            <a:rPr lang="pt-BR" sz="1400" b="0" i="0" baseline="0">
              <a:solidFill>
                <a:schemeClr val="tx1"/>
              </a:solidFill>
              <a:effectLst/>
              <a:latin typeface="+mn-lt"/>
              <a:ea typeface="+mn-ea"/>
              <a:cs typeface="+mn-cs"/>
            </a:rPr>
            <a:t>, é possível concluir que</a:t>
          </a:r>
          <a:br>
            <a:rPr lang="pt-BR" sz="1400" b="0" i="0" baseline="0">
              <a:solidFill>
                <a:schemeClr val="tx1"/>
              </a:solidFill>
              <a:effectLst/>
              <a:latin typeface="+mn-lt"/>
              <a:ea typeface="+mn-ea"/>
              <a:cs typeface="+mn-cs"/>
            </a:rPr>
          </a:br>
          <a:r>
            <a:rPr lang="pt-BR" sz="1400" b="1" i="0" baseline="0">
              <a:solidFill>
                <a:schemeClr val="tx1"/>
              </a:solidFill>
              <a:effectLst/>
              <a:latin typeface="+mn-lt"/>
              <a:ea typeface="+mn-ea"/>
              <a:cs typeface="+mn-cs"/>
            </a:rPr>
            <a:t>75%</a:t>
          </a:r>
          <a:r>
            <a:rPr lang="pt-BR" sz="1400" b="0" i="0" baseline="0">
              <a:solidFill>
                <a:schemeClr val="tx1"/>
              </a:solidFill>
              <a:effectLst/>
              <a:latin typeface="+mn-lt"/>
              <a:ea typeface="+mn-ea"/>
              <a:cs typeface="+mn-cs"/>
            </a:rPr>
            <a:t> das contratações giraram em torno de ativos entre </a:t>
          </a:r>
          <a:r>
            <a:rPr lang="pt-BR" sz="1400" b="1" i="0" baseline="0">
              <a:solidFill>
                <a:schemeClr val="tx1"/>
              </a:solidFill>
              <a:effectLst/>
              <a:latin typeface="+mn-lt"/>
              <a:ea typeface="+mn-ea"/>
              <a:cs typeface="+mn-cs"/>
            </a:rPr>
            <a:t>16 e 25 anos</a:t>
          </a:r>
          <a:r>
            <a:rPr lang="pt-BR" sz="1400" b="0" i="0" baseline="0">
              <a:solidFill>
                <a:schemeClr val="tx1"/>
              </a:solidFill>
              <a:effectLst/>
              <a:latin typeface="+mn-lt"/>
              <a:ea typeface="+mn-ea"/>
              <a:cs typeface="+mn-cs"/>
            </a:rPr>
            <a:t>, portanto, jovens. O fato apresentado indica que o clube possivelmente adentrou o mercado de</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transferências buscando um perfil </a:t>
          </a:r>
          <a:r>
            <a:rPr lang="pt-BR" sz="1400" b="1" i="0" baseline="0">
              <a:solidFill>
                <a:schemeClr val="tx1"/>
              </a:solidFill>
              <a:effectLst/>
              <a:latin typeface="+mn-lt"/>
              <a:ea typeface="+mn-ea"/>
              <a:cs typeface="+mn-cs"/>
            </a:rPr>
            <a:t>jovem</a:t>
          </a:r>
          <a:r>
            <a:rPr lang="pt-BR" sz="1400" b="0" i="0" baseline="0">
              <a:solidFill>
                <a:schemeClr val="tx1"/>
              </a:solidFill>
              <a:effectLst/>
              <a:latin typeface="+mn-lt"/>
              <a:ea typeface="+mn-ea"/>
              <a:cs typeface="+mn-cs"/>
            </a:rPr>
            <a:t>, que possui potencial para se desenvolver, sem desconsiderar jogadores consolidados e mais experientes, compondo um elenco </a:t>
          </a:r>
          <a:r>
            <a:rPr lang="pt-BR" sz="1400" b="1" i="0" baseline="0">
              <a:solidFill>
                <a:schemeClr val="tx1"/>
              </a:solidFill>
              <a:effectLst/>
              <a:latin typeface="+mn-lt"/>
              <a:ea typeface="+mn-ea"/>
              <a:cs typeface="+mn-cs"/>
            </a:rPr>
            <a:t>mesclado</a:t>
          </a:r>
          <a:r>
            <a:rPr lang="pt-BR" sz="1400" b="0" i="0" baseline="0">
              <a:solidFill>
                <a:schemeClr val="tx1"/>
              </a:solidFill>
              <a:effectLst/>
              <a:latin typeface="+mn-lt"/>
              <a:ea typeface="+mn-ea"/>
              <a:cs typeface="+mn-cs"/>
            </a:rPr>
            <a:t>.</a:t>
          </a:r>
        </a:p>
        <a:p>
          <a:pPr marL="0" marR="0" lvl="0" indent="0" algn="ctr" defTabSz="914400" eaLnBrk="1" fontAlgn="auto" latinLnBrk="0" hangingPunct="1">
            <a:lnSpc>
              <a:spcPct val="100000"/>
            </a:lnSpc>
            <a:spcBef>
              <a:spcPts val="0"/>
            </a:spcBef>
            <a:spcAft>
              <a:spcPts val="0"/>
            </a:spcAft>
            <a:buClrTx/>
            <a:buSzTx/>
            <a:buFontTx/>
            <a:buNone/>
            <a:tabLst/>
            <a:defRPr/>
          </a:pPr>
          <a:endParaRPr lang="pt-BR" sz="1400" b="0" i="0" baseline="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pt-BR" sz="1400">
              <a:effectLst/>
            </a:rPr>
            <a:t>No que diz respeito às</a:t>
          </a:r>
          <a:r>
            <a:rPr lang="pt-BR" sz="1400" baseline="0">
              <a:effectLst/>
            </a:rPr>
            <a:t> nacionalidades dos atletas, não foi possível identificar um padrão quanto suas presenças nas contratações do clube. O principal fator para tal foi a</a:t>
          </a:r>
          <a:endParaRPr lang="pt-BR" sz="1400" b="1" baseline="0">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pt-BR" sz="1400" b="1" baseline="0">
              <a:effectLst/>
            </a:rPr>
            <a:t>diversidade</a:t>
          </a:r>
          <a:r>
            <a:rPr lang="pt-BR" sz="1400" b="0" baseline="0">
              <a:effectLst/>
            </a:rPr>
            <a:t> de nações encontradas, contabilizando </a:t>
          </a:r>
          <a:r>
            <a:rPr lang="pt-BR" sz="1400" b="1" baseline="0">
              <a:effectLst/>
            </a:rPr>
            <a:t>16</a:t>
          </a:r>
          <a:r>
            <a:rPr lang="pt-BR" sz="1400" b="0" baseline="0">
              <a:effectLst/>
            </a:rPr>
            <a:t> jogadores entre </a:t>
          </a:r>
          <a:r>
            <a:rPr lang="pt-BR" sz="1400" b="1" baseline="0">
              <a:effectLst/>
            </a:rPr>
            <a:t>13</a:t>
          </a:r>
          <a:r>
            <a:rPr lang="pt-BR" sz="1400" b="0" baseline="0">
              <a:effectLst/>
            </a:rPr>
            <a:t> países. Em decorrência, ingleses e neerlandeses, líderes da lista com </a:t>
          </a:r>
          <a:r>
            <a:rPr lang="pt-BR" sz="1400" b="1" baseline="0">
              <a:effectLst/>
            </a:rPr>
            <a:t>3</a:t>
          </a:r>
          <a:r>
            <a:rPr lang="pt-BR" sz="1400" b="0" baseline="0">
              <a:effectLst/>
            </a:rPr>
            <a:t> e </a:t>
          </a:r>
          <a:r>
            <a:rPr lang="pt-BR" sz="1400" b="1" baseline="0">
              <a:effectLst/>
            </a:rPr>
            <a:t>2</a:t>
          </a:r>
          <a:r>
            <a:rPr lang="pt-BR" sz="1400" b="0" baseline="0">
              <a:effectLst/>
            </a:rPr>
            <a:t> atletas respectivamente,</a:t>
          </a:r>
          <a:br>
            <a:rPr lang="pt-BR" sz="1400" b="0" baseline="0">
              <a:effectLst/>
            </a:rPr>
          </a:br>
          <a:r>
            <a:rPr lang="pt-BR" sz="1400" b="0" baseline="0">
              <a:effectLst/>
            </a:rPr>
            <a:t>dificilmente podem ser considerados como modelos. No entanto, como forma de enriquecer a análise, é importante levar em consideração quais foram os clubes de origem dos</a:t>
          </a:r>
          <a:br>
            <a:rPr lang="pt-BR" sz="1400" b="0" baseline="0">
              <a:effectLst/>
            </a:rPr>
          </a:br>
          <a:r>
            <a:rPr lang="pt-BR" sz="1400" b="0" baseline="0">
              <a:effectLst/>
            </a:rPr>
            <a:t>jogadores envolvidos nas negociações, incluindo os representantes de ambas as nações. Notou-se que o Tottenham Hotspur, possivelmente alinhando-se com uma estratégia do</a:t>
          </a:r>
          <a:br>
            <a:rPr lang="pt-BR" sz="1400" b="0" baseline="0">
              <a:effectLst/>
            </a:rPr>
          </a:br>
          <a:r>
            <a:rPr lang="pt-BR" sz="1400" b="0" baseline="0">
              <a:effectLst/>
            </a:rPr>
            <a:t>seu departamento de </a:t>
          </a:r>
          <a:r>
            <a:rPr lang="pt-BR" sz="1400" b="0" i="1" baseline="0">
              <a:effectLst/>
            </a:rPr>
            <a:t>scouting</a:t>
          </a:r>
          <a:r>
            <a:rPr lang="pt-BR" sz="1400" b="0" i="0" baseline="0">
              <a:effectLst/>
            </a:rPr>
            <a:t>, mapeou ativos presentes em diversos mercados europeus</a:t>
          </a:r>
          <a:r>
            <a:rPr lang="pt-BR" sz="1100" b="0" i="0" baseline="0">
              <a:solidFill>
                <a:schemeClr val="tx1"/>
              </a:solidFill>
              <a:effectLst/>
              <a:latin typeface="+mn-lt"/>
              <a:ea typeface="+mn-ea"/>
              <a:cs typeface="+mn-cs"/>
            </a:rPr>
            <a:t> </a:t>
          </a:r>
          <a:r>
            <a:rPr lang="pt-BR" sz="1400" b="0" i="0" baseline="0">
              <a:solidFill>
                <a:schemeClr val="tx1"/>
              </a:solidFill>
              <a:effectLst/>
              <a:latin typeface="+mn-lt"/>
              <a:ea typeface="+mn-ea"/>
              <a:cs typeface="+mn-cs"/>
            </a:rPr>
            <a:t>sem estarem necessariamente ligados à nacionalidade daquele país </a:t>
          </a:r>
          <a:r>
            <a:rPr lang="pt-BR" sz="1100" b="0" i="0" baseline="0">
              <a:solidFill>
                <a:schemeClr val="tx1"/>
              </a:solidFill>
              <a:effectLst/>
              <a:latin typeface="+mn-lt"/>
              <a:ea typeface="+mn-ea"/>
              <a:cs typeface="+mn-cs"/>
            </a:rPr>
            <a:t>— </a:t>
          </a:r>
          <a:r>
            <a:rPr lang="pt-BR" sz="1400" b="0" i="0" baseline="0">
              <a:solidFill>
                <a:schemeClr val="tx1"/>
              </a:solidFill>
              <a:effectLst/>
              <a:latin typeface="+mn-lt"/>
              <a:ea typeface="+mn-ea"/>
              <a:cs typeface="+mn-cs"/>
            </a:rPr>
            <a:t>como é o caso de</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Cristian Romero, defensor </a:t>
          </a:r>
          <a:r>
            <a:rPr lang="pt-BR" sz="1400" b="1" i="0" baseline="0">
              <a:solidFill>
                <a:schemeClr val="tx1"/>
              </a:solidFill>
              <a:effectLst/>
              <a:latin typeface="+mn-lt"/>
              <a:ea typeface="+mn-ea"/>
              <a:cs typeface="+mn-cs"/>
            </a:rPr>
            <a:t>argentino</a:t>
          </a:r>
          <a:r>
            <a:rPr lang="pt-BR" sz="1400" b="0" i="0" baseline="0">
              <a:solidFill>
                <a:schemeClr val="tx1"/>
              </a:solidFill>
              <a:effectLst/>
              <a:latin typeface="+mn-lt"/>
              <a:ea typeface="+mn-ea"/>
              <a:cs typeface="+mn-cs"/>
            </a:rPr>
            <a:t> adquirido enquanto atuava pela Atalanta, um clube </a:t>
          </a:r>
          <a:r>
            <a:rPr lang="pt-BR" sz="1400" b="1" i="0" baseline="0">
              <a:solidFill>
                <a:schemeClr val="tx1"/>
              </a:solidFill>
              <a:effectLst/>
              <a:latin typeface="+mn-lt"/>
              <a:ea typeface="+mn-ea"/>
              <a:cs typeface="+mn-cs"/>
            </a:rPr>
            <a:t>italiano</a:t>
          </a:r>
          <a:r>
            <a:rPr lang="pt-BR" sz="1400" b="0" i="0" baseline="0">
              <a:solidFill>
                <a:schemeClr val="tx1"/>
              </a:solidFill>
              <a:effectLst/>
              <a:latin typeface="+mn-lt"/>
              <a:ea typeface="+mn-ea"/>
              <a:cs typeface="+mn-cs"/>
            </a:rPr>
            <a:t>. Também foi possível identificar que a equipe não se distanciou do mercado</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doméstico, visto que </a:t>
          </a:r>
          <a:r>
            <a:rPr lang="pt-BR" sz="1400" b="1" i="0" baseline="0">
              <a:solidFill>
                <a:schemeClr val="tx1"/>
              </a:solidFill>
              <a:effectLst/>
              <a:latin typeface="+mn-lt"/>
              <a:ea typeface="+mn-ea"/>
              <a:cs typeface="+mn-cs"/>
            </a:rPr>
            <a:t>todos</a:t>
          </a:r>
          <a:r>
            <a:rPr lang="pt-BR" sz="1400" b="0" i="0" baseline="0">
              <a:solidFill>
                <a:schemeClr val="tx1"/>
              </a:solidFill>
              <a:effectLst/>
              <a:latin typeface="+mn-lt"/>
              <a:ea typeface="+mn-ea"/>
              <a:cs typeface="+mn-cs"/>
            </a:rPr>
            <a:t> os atletas ingleses foram contratados enquanto jogavam por compatriotas dos Spurs, como Leeds United, Bournemouth e Leicester City. Todos os</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indicadores apresentados reforçam a ideia de um elenco caracterizado pela </a:t>
          </a:r>
          <a:r>
            <a:rPr lang="pt-BR" sz="1400" b="1" i="0" baseline="0">
              <a:solidFill>
                <a:schemeClr val="tx1"/>
              </a:solidFill>
              <a:effectLst/>
              <a:latin typeface="+mn-lt"/>
              <a:ea typeface="+mn-ea"/>
              <a:cs typeface="+mn-cs"/>
            </a:rPr>
            <a:t>pluralidade</a:t>
          </a:r>
          <a:r>
            <a:rPr lang="pt-BR" sz="1400" b="0" i="0" baseline="0">
              <a:solidFill>
                <a:schemeClr val="tx1"/>
              </a:solidFill>
              <a:effectLst/>
              <a:latin typeface="+mn-lt"/>
              <a:ea typeface="+mn-ea"/>
              <a:cs typeface="+mn-cs"/>
            </a:rPr>
            <a:t>.</a:t>
          </a:r>
          <a:br>
            <a:rPr lang="pt-BR" sz="1400" b="0" i="0" baseline="0">
              <a:solidFill>
                <a:schemeClr val="tx1"/>
              </a:solidFill>
              <a:effectLst/>
              <a:latin typeface="+mn-lt"/>
              <a:ea typeface="+mn-ea"/>
              <a:cs typeface="+mn-cs"/>
            </a:rPr>
          </a:b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Embora o valor gasto em contratações seja visto como destaque, a quantia </a:t>
          </a:r>
          <a:r>
            <a:rPr lang="pt-BR" sz="1400" b="1" i="0" baseline="0">
              <a:solidFill>
                <a:schemeClr val="tx1"/>
              </a:solidFill>
              <a:effectLst/>
              <a:latin typeface="+mn-lt"/>
              <a:ea typeface="+mn-ea"/>
              <a:cs typeface="+mn-cs"/>
            </a:rPr>
            <a:t>recebida</a:t>
          </a:r>
          <a:r>
            <a:rPr lang="pt-BR" sz="1400" b="0" i="0" baseline="0">
              <a:solidFill>
                <a:schemeClr val="tx1"/>
              </a:solidFill>
              <a:effectLst/>
              <a:latin typeface="+mn-lt"/>
              <a:ea typeface="+mn-ea"/>
              <a:cs typeface="+mn-cs"/>
            </a:rPr>
            <a:t> através das saídas de jogadores também impactou o clube. Foram registradas despedidas de</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apenas </a:t>
          </a:r>
          <a:r>
            <a:rPr lang="pt-BR" sz="1400" b="1" i="0" baseline="0">
              <a:solidFill>
                <a:schemeClr val="tx1"/>
              </a:solidFill>
              <a:effectLst/>
              <a:latin typeface="+mn-lt"/>
              <a:ea typeface="+mn-ea"/>
              <a:cs typeface="+mn-cs"/>
            </a:rPr>
            <a:t>6</a:t>
          </a:r>
          <a:r>
            <a:rPr lang="pt-BR" sz="1400" b="0" i="0" baseline="0">
              <a:solidFill>
                <a:schemeClr val="tx1"/>
              </a:solidFill>
              <a:effectLst/>
              <a:latin typeface="+mn-lt"/>
              <a:ea typeface="+mn-ea"/>
              <a:cs typeface="+mn-cs"/>
            </a:rPr>
            <a:t> ativos que, juntas, reuniram </a:t>
          </a:r>
          <a:r>
            <a:rPr lang="pt-BR" sz="1400" b="1" i="0" baseline="0">
              <a:solidFill>
                <a:schemeClr val="tx1"/>
              </a:solidFill>
              <a:effectLst/>
              <a:latin typeface="+mn-lt"/>
              <a:ea typeface="+mn-ea"/>
              <a:cs typeface="+mn-cs"/>
            </a:rPr>
            <a:t>£179.8 milhões </a:t>
          </a:r>
          <a:r>
            <a:rPr lang="pt-BR" sz="1400" b="0" i="0" baseline="0">
              <a:solidFill>
                <a:schemeClr val="tx1"/>
              </a:solidFill>
              <a:effectLst/>
              <a:latin typeface="+mn-lt"/>
              <a:ea typeface="+mn-ea"/>
              <a:cs typeface="+mn-cs"/>
            </a:rPr>
            <a:t>aos cofres londrinos. Uma das movimentações mencionadas foi relacionada ao defensor belga Jan Vertoghen, que deixou</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o clube livremente e sem custos na temporada 2020/21 — portanto, é possível concluir que </a:t>
          </a:r>
          <a:r>
            <a:rPr lang="pt-BR" sz="1400" b="1" i="0" baseline="0">
              <a:solidFill>
                <a:schemeClr val="tx1"/>
              </a:solidFill>
              <a:effectLst/>
              <a:latin typeface="+mn-lt"/>
              <a:ea typeface="+mn-ea"/>
              <a:cs typeface="+mn-cs"/>
            </a:rPr>
            <a:t>5</a:t>
          </a:r>
          <a:r>
            <a:rPr lang="pt-BR" sz="1400" b="0" i="0" baseline="0">
              <a:solidFill>
                <a:schemeClr val="tx1"/>
              </a:solidFill>
              <a:effectLst/>
              <a:latin typeface="+mn-lt"/>
              <a:ea typeface="+mn-ea"/>
              <a:cs typeface="+mn-cs"/>
            </a:rPr>
            <a:t> das transferências realmente renderam à equipe. Cerca de </a:t>
          </a:r>
          <a:r>
            <a:rPr lang="pt-BR" sz="1400" b="1" i="0" baseline="0">
              <a:solidFill>
                <a:schemeClr val="tx1"/>
              </a:solidFill>
              <a:effectLst/>
              <a:latin typeface="+mn-lt"/>
              <a:ea typeface="+mn-ea"/>
              <a:cs typeface="+mn-cs"/>
            </a:rPr>
            <a:t>70,2%</a:t>
          </a:r>
          <a:r>
            <a:rPr lang="pt-BR" sz="1400" b="0" i="0" baseline="0">
              <a:solidFill>
                <a:schemeClr val="tx1"/>
              </a:solidFill>
              <a:effectLst/>
              <a:latin typeface="+mn-lt"/>
              <a:ea typeface="+mn-ea"/>
              <a:cs typeface="+mn-cs"/>
            </a:rPr>
            <a:t> das vendas</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pertenciam à atacantes, </a:t>
          </a:r>
          <a:r>
            <a:rPr lang="pt-BR" sz="1400" b="1" i="0" baseline="0">
              <a:solidFill>
                <a:schemeClr val="tx1"/>
              </a:solidFill>
              <a:effectLst/>
              <a:latin typeface="+mn-lt"/>
              <a:ea typeface="+mn-ea"/>
              <a:cs typeface="+mn-cs"/>
            </a:rPr>
            <a:t>22,5%</a:t>
          </a:r>
          <a:r>
            <a:rPr lang="pt-BR" sz="1400" b="0" i="0" baseline="0">
              <a:solidFill>
                <a:schemeClr val="tx1"/>
              </a:solidFill>
              <a:effectLst/>
              <a:latin typeface="+mn-lt"/>
              <a:ea typeface="+mn-ea"/>
              <a:cs typeface="+mn-cs"/>
            </a:rPr>
            <a:t> à meio-campistas e, por fim, </a:t>
          </a:r>
          <a:r>
            <a:rPr lang="pt-BR" sz="1400" b="1" i="0" baseline="0">
              <a:solidFill>
                <a:schemeClr val="tx1"/>
              </a:solidFill>
              <a:effectLst/>
              <a:latin typeface="+mn-lt"/>
              <a:ea typeface="+mn-ea"/>
              <a:cs typeface="+mn-cs"/>
            </a:rPr>
            <a:t>7,2%</a:t>
          </a:r>
          <a:r>
            <a:rPr lang="pt-BR" sz="1400" b="0" i="0" baseline="0">
              <a:solidFill>
                <a:schemeClr val="tx1"/>
              </a:solidFill>
              <a:effectLst/>
              <a:latin typeface="+mn-lt"/>
              <a:ea typeface="+mn-ea"/>
              <a:cs typeface="+mn-cs"/>
            </a:rPr>
            <a:t> aos defensores. Como citado anteriormente, </a:t>
          </a:r>
          <a:r>
            <a:rPr lang="pt-BR" sz="1400" b="1" i="0" baseline="0">
              <a:solidFill>
                <a:schemeClr val="tx1"/>
              </a:solidFill>
              <a:effectLst/>
              <a:latin typeface="+mn-lt"/>
              <a:ea typeface="+mn-ea"/>
              <a:cs typeface="+mn-cs"/>
            </a:rPr>
            <a:t>52,8%</a:t>
          </a:r>
          <a:r>
            <a:rPr lang="pt-BR" sz="1400" b="0" i="0" baseline="0">
              <a:solidFill>
                <a:schemeClr val="tx1"/>
              </a:solidFill>
              <a:effectLst/>
              <a:latin typeface="+mn-lt"/>
              <a:ea typeface="+mn-ea"/>
              <a:cs typeface="+mn-cs"/>
            </a:rPr>
            <a:t> do montante envolvia a saída de apenas um atleta: o atacante</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inglês Harry Kane. Sozinha, sua venda gerou </a:t>
          </a:r>
          <a:r>
            <a:rPr lang="pt-BR" sz="1400" b="1" i="0" baseline="0">
              <a:solidFill>
                <a:schemeClr val="tx1"/>
              </a:solidFill>
              <a:effectLst/>
              <a:latin typeface="+mn-lt"/>
              <a:ea typeface="+mn-ea"/>
              <a:cs typeface="+mn-cs"/>
            </a:rPr>
            <a:t>£95 milhões</a:t>
          </a:r>
          <a:r>
            <a:rPr lang="pt-BR" sz="1400" b="0" i="0" baseline="0">
              <a:solidFill>
                <a:schemeClr val="tx1"/>
              </a:solidFill>
              <a:effectLst/>
              <a:latin typeface="+mn-lt"/>
              <a:ea typeface="+mn-ea"/>
              <a:cs typeface="+mn-cs"/>
            </a:rPr>
            <a:t>, quantia superior à soma de todas as outras. Seu companheiro de ataque, Steve Bergwijn, também arrecadou um valor</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significativo ao Tottenham Hotspur: cerca de </a:t>
          </a:r>
          <a:r>
            <a:rPr lang="pt-BR" sz="1400" b="1" i="0" baseline="0">
              <a:solidFill>
                <a:schemeClr val="tx1"/>
              </a:solidFill>
              <a:effectLst/>
              <a:latin typeface="+mn-lt"/>
              <a:ea typeface="+mn-ea"/>
              <a:cs typeface="+mn-cs"/>
            </a:rPr>
            <a:t>£31 milhões</a:t>
          </a:r>
          <a:r>
            <a:rPr lang="pt-BR" sz="1400" b="0" i="0" baseline="0">
              <a:solidFill>
                <a:schemeClr val="tx1"/>
              </a:solidFill>
              <a:effectLst/>
              <a:latin typeface="+mn-lt"/>
              <a:ea typeface="+mn-ea"/>
              <a:cs typeface="+mn-cs"/>
            </a:rPr>
            <a:t>, se sobrepondo individualmente aos valores dos meio-campistas e defensores. Em resumo, as vendas acabaram</a:t>
          </a:r>
          <a:br>
            <a:rPr lang="pt-BR" sz="1400" b="0" i="0" baseline="0">
              <a:solidFill>
                <a:schemeClr val="tx1"/>
              </a:solidFill>
              <a:effectLst/>
              <a:latin typeface="+mn-lt"/>
              <a:ea typeface="+mn-ea"/>
              <a:cs typeface="+mn-cs"/>
            </a:rPr>
          </a:br>
          <a:r>
            <a:rPr lang="pt-BR" sz="1400" b="1" i="0" baseline="0">
              <a:solidFill>
                <a:schemeClr val="tx1"/>
              </a:solidFill>
              <a:effectLst/>
              <a:latin typeface="+mn-lt"/>
              <a:ea typeface="+mn-ea"/>
              <a:cs typeface="+mn-cs"/>
            </a:rPr>
            <a:t>concentrando-se</a:t>
          </a:r>
          <a:r>
            <a:rPr lang="pt-BR" sz="1400" b="0" i="0" baseline="0">
              <a:solidFill>
                <a:schemeClr val="tx1"/>
              </a:solidFill>
              <a:effectLst/>
              <a:latin typeface="+mn-lt"/>
              <a:ea typeface="+mn-ea"/>
              <a:cs typeface="+mn-cs"/>
            </a:rPr>
            <a:t> nos atacantes e, embora não haja indícios suficientes para determinar quais foram as razões por trás delas, continuam sendo peças importantes para a compreensão</a:t>
          </a:r>
          <a:br>
            <a:rPr lang="pt-BR" sz="1400" b="0" i="0" baseline="0">
              <a:solidFill>
                <a:schemeClr val="tx1"/>
              </a:solidFill>
              <a:effectLst/>
              <a:latin typeface="+mn-lt"/>
              <a:ea typeface="+mn-ea"/>
              <a:cs typeface="+mn-cs"/>
            </a:rPr>
          </a:br>
          <a:r>
            <a:rPr lang="pt-BR" sz="1400" b="0" i="0" baseline="0">
              <a:solidFill>
                <a:schemeClr val="tx1"/>
              </a:solidFill>
              <a:effectLst/>
              <a:latin typeface="+mn-lt"/>
              <a:ea typeface="+mn-ea"/>
              <a:cs typeface="+mn-cs"/>
            </a:rPr>
            <a:t>do comportamento financeiro do clube.</a:t>
          </a:r>
        </a:p>
        <a:p>
          <a:pPr marL="0" marR="0" lvl="0" indent="0" algn="ctr" defTabSz="914400" eaLnBrk="1" fontAlgn="auto" latinLnBrk="0" hangingPunct="1">
            <a:lnSpc>
              <a:spcPct val="100000"/>
            </a:lnSpc>
            <a:spcBef>
              <a:spcPts val="0"/>
            </a:spcBef>
            <a:spcAft>
              <a:spcPts val="0"/>
            </a:spcAft>
            <a:buClrTx/>
            <a:buSzTx/>
            <a:buFontTx/>
            <a:buNone/>
            <a:tabLst/>
            <a:defRPr/>
          </a:pPr>
          <a:endParaRPr lang="pt-BR" sz="1400" b="0" i="0" baseline="0">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pt-BR" sz="1400" b="0" i="0" baseline="0">
              <a:solidFill>
                <a:schemeClr val="tx1"/>
              </a:solidFill>
              <a:effectLst/>
              <a:latin typeface="+mn-lt"/>
              <a:ea typeface="+mn-ea"/>
              <a:cs typeface="+mn-cs"/>
            </a:rPr>
            <a:t>Resumidamente, pode-se dizer que as movimentações financeiras do Tottenham Hotspur entre as temporadas 2019/20 e 2024/25 foram caracterizadas pela </a:t>
          </a:r>
          <a:r>
            <a:rPr lang="pt-BR" sz="1400" b="1" i="0" baseline="0">
              <a:solidFill>
                <a:schemeClr val="tx1"/>
              </a:solidFill>
              <a:effectLst/>
              <a:latin typeface="+mn-lt"/>
              <a:ea typeface="+mn-ea"/>
              <a:cs typeface="+mn-cs"/>
            </a:rPr>
            <a:t>incisividade</a:t>
          </a:r>
          <a:r>
            <a:rPr lang="pt-BR" sz="1400" b="0" i="0" baseline="0">
              <a:solidFill>
                <a:schemeClr val="tx1"/>
              </a:solidFill>
              <a:effectLst/>
              <a:latin typeface="+mn-lt"/>
              <a:ea typeface="+mn-ea"/>
              <a:cs typeface="+mn-cs"/>
            </a:rPr>
            <a:t> em contratações,</a:t>
          </a:r>
          <a:br>
            <a:rPr lang="pt-BR" sz="1400" b="0" i="0" baseline="0">
              <a:solidFill>
                <a:schemeClr val="tx1"/>
              </a:solidFill>
              <a:effectLst/>
              <a:latin typeface="+mn-lt"/>
              <a:ea typeface="+mn-ea"/>
              <a:cs typeface="+mn-cs"/>
            </a:rPr>
          </a:br>
          <a:r>
            <a:rPr lang="pt-BR" sz="1400" b="1" i="0" baseline="0">
              <a:solidFill>
                <a:schemeClr val="tx1"/>
              </a:solidFill>
              <a:effectLst/>
              <a:latin typeface="+mn-lt"/>
              <a:ea typeface="+mn-ea"/>
              <a:cs typeface="+mn-cs"/>
            </a:rPr>
            <a:t>diversidade</a:t>
          </a:r>
          <a:r>
            <a:rPr lang="pt-BR" sz="1400" b="0" i="0" baseline="0">
              <a:solidFill>
                <a:schemeClr val="tx1"/>
              </a:solidFill>
              <a:effectLst/>
              <a:latin typeface="+mn-lt"/>
              <a:ea typeface="+mn-ea"/>
              <a:cs typeface="+mn-cs"/>
            </a:rPr>
            <a:t> nas posições investidas, busca por </a:t>
          </a:r>
          <a:r>
            <a:rPr lang="pt-BR" sz="1400" b="1" i="0" baseline="0">
              <a:solidFill>
                <a:schemeClr val="tx1"/>
              </a:solidFill>
              <a:effectLst/>
              <a:latin typeface="+mn-lt"/>
              <a:ea typeface="+mn-ea"/>
              <a:cs typeface="+mn-cs"/>
            </a:rPr>
            <a:t>jovens</a:t>
          </a:r>
          <a:r>
            <a:rPr lang="pt-BR" sz="1400" b="0" i="0" baseline="0">
              <a:solidFill>
                <a:schemeClr val="tx1"/>
              </a:solidFill>
              <a:effectLst/>
              <a:latin typeface="+mn-lt"/>
              <a:ea typeface="+mn-ea"/>
              <a:cs typeface="+mn-cs"/>
            </a:rPr>
            <a:t>, </a:t>
          </a:r>
          <a:r>
            <a:rPr lang="pt-BR" sz="1400" b="1" i="0" baseline="0">
              <a:solidFill>
                <a:schemeClr val="tx1"/>
              </a:solidFill>
              <a:effectLst/>
              <a:latin typeface="+mn-lt"/>
              <a:ea typeface="+mn-ea"/>
              <a:cs typeface="+mn-cs"/>
            </a:rPr>
            <a:t>pluralidade</a:t>
          </a:r>
          <a:r>
            <a:rPr lang="pt-BR" sz="1400" b="0" i="0" baseline="0">
              <a:solidFill>
                <a:schemeClr val="tx1"/>
              </a:solidFill>
              <a:effectLst/>
              <a:latin typeface="+mn-lt"/>
              <a:ea typeface="+mn-ea"/>
              <a:cs typeface="+mn-cs"/>
            </a:rPr>
            <a:t> na questão de nacionalidades e </a:t>
          </a:r>
          <a:r>
            <a:rPr lang="pt-BR" sz="1400" b="1" i="0" baseline="0">
              <a:solidFill>
                <a:schemeClr val="tx1"/>
              </a:solidFill>
              <a:effectLst/>
              <a:latin typeface="+mn-lt"/>
              <a:ea typeface="+mn-ea"/>
              <a:cs typeface="+mn-cs"/>
            </a:rPr>
            <a:t>concentração</a:t>
          </a:r>
          <a:r>
            <a:rPr lang="pt-BR" sz="1400" b="0" i="0" baseline="0">
              <a:solidFill>
                <a:schemeClr val="tx1"/>
              </a:solidFill>
              <a:effectLst/>
              <a:latin typeface="+mn-lt"/>
              <a:ea typeface="+mn-ea"/>
              <a:cs typeface="+mn-cs"/>
            </a:rPr>
            <a:t> das vendas em atacantes.</a:t>
          </a:r>
          <a:endParaRPr lang="pt-BR" sz="1400">
            <a:effectLst/>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399871</xdr:colOff>
      <xdr:row>0</xdr:row>
      <xdr:rowOff>180975</xdr:rowOff>
    </xdr:from>
    <xdr:ext cx="5387822" cy="405432"/>
    <xdr:sp macro="" textlink="">
      <xdr:nvSpPr>
        <xdr:cNvPr id="2" name="CaixaDeTexto 1">
          <a:extLst>
            <a:ext uri="{FF2B5EF4-FFF2-40B4-BE49-F238E27FC236}">
              <a16:creationId xmlns:a16="http://schemas.microsoft.com/office/drawing/2014/main" id="{812E5036-04FC-4BC0-83EE-297A7A4557B8}"/>
            </a:ext>
          </a:extLst>
        </xdr:cNvPr>
        <xdr:cNvSpPr txBox="1"/>
      </xdr:nvSpPr>
      <xdr:spPr>
        <a:xfrm>
          <a:off x="3447871" y="180975"/>
          <a:ext cx="538782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2000" b="1"/>
            <a:t>Justificativas Relacionadas a Tomada de Decisão:</a:t>
          </a:r>
        </a:p>
      </xdr:txBody>
    </xdr:sp>
    <xdr:clientData/>
  </xdr:oneCellAnchor>
  <xdr:oneCellAnchor>
    <xdr:from>
      <xdr:col>0</xdr:col>
      <xdr:colOff>176774</xdr:colOff>
      <xdr:row>3</xdr:row>
      <xdr:rowOff>38100</xdr:rowOff>
    </xdr:from>
    <xdr:ext cx="3130665" cy="327141"/>
    <xdr:sp macro="" textlink="">
      <xdr:nvSpPr>
        <xdr:cNvPr id="3" name="CaixaDeTexto 2">
          <a:extLst>
            <a:ext uri="{FF2B5EF4-FFF2-40B4-BE49-F238E27FC236}">
              <a16:creationId xmlns:a16="http://schemas.microsoft.com/office/drawing/2014/main" id="{55FA4AB0-D5EC-4E90-BACB-B6E12496CCD7}"/>
            </a:ext>
          </a:extLst>
        </xdr:cNvPr>
        <xdr:cNvSpPr txBox="1"/>
      </xdr:nvSpPr>
      <xdr:spPr>
        <a:xfrm>
          <a:off x="176774" y="609600"/>
          <a:ext cx="3130665"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1. Tratamento</a:t>
          </a:r>
          <a:r>
            <a:rPr lang="pt-BR" sz="1500" b="1" baseline="0"/>
            <a:t> e Limpeza dos Dados: </a:t>
          </a:r>
          <a:endParaRPr lang="pt-BR" sz="1500" b="1"/>
        </a:p>
      </xdr:txBody>
    </xdr:sp>
    <xdr:clientData/>
  </xdr:oneCellAnchor>
  <xdr:oneCellAnchor>
    <xdr:from>
      <xdr:col>0</xdr:col>
      <xdr:colOff>190500</xdr:colOff>
      <xdr:row>5</xdr:row>
      <xdr:rowOff>95250</xdr:rowOff>
    </xdr:from>
    <xdr:ext cx="12148329" cy="6292107"/>
    <xdr:sp macro="" textlink="">
      <xdr:nvSpPr>
        <xdr:cNvPr id="4" name="CaixaDeTexto 3">
          <a:extLst>
            <a:ext uri="{FF2B5EF4-FFF2-40B4-BE49-F238E27FC236}">
              <a16:creationId xmlns:a16="http://schemas.microsoft.com/office/drawing/2014/main" id="{B428225A-2FC9-412C-A6D7-F38CEB808060}"/>
            </a:ext>
          </a:extLst>
        </xdr:cNvPr>
        <xdr:cNvSpPr txBox="1"/>
      </xdr:nvSpPr>
      <xdr:spPr>
        <a:xfrm>
          <a:off x="190500" y="1047750"/>
          <a:ext cx="12148329" cy="62921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Em</a:t>
          </a:r>
          <a:r>
            <a:rPr lang="pt-BR" sz="1200" baseline="0"/>
            <a:t> meio ao processo de construção do projeto, temos diversos momentos em que precisamos tomar decisões importantes para que possamos seguir em frente. Neste caso, discorreremos sobre alguns deles durante o tratamento e a limpeza dos dados:</a:t>
          </a:r>
        </a:p>
        <a:p>
          <a:pPr algn="l"/>
          <a:endParaRPr lang="pt-BR" sz="1200" b="0" baseline="0"/>
        </a:p>
        <a:p>
          <a:pPr algn="l"/>
          <a:r>
            <a:rPr lang="pt-BR" sz="1200"/>
            <a:t>• Na 24ª linha da</a:t>
          </a:r>
          <a:r>
            <a:rPr lang="pt-BR" sz="1200" baseline="0"/>
            <a:t> planilha, foi identificada uma duplicação de cabeçalho, onde os nomes das colunas acabaram sendo introduzidos nos campos de valores da planilha. A decisão tomada nesta ocasião foi excluir a linha, visto que a mesma não possuía dados relevantes.</a:t>
          </a:r>
        </a:p>
        <a:p>
          <a:pPr algn="l"/>
          <a:r>
            <a:rPr lang="pt-BR" sz="1200"/>
            <a:t> </a:t>
          </a:r>
        </a:p>
        <a:p>
          <a:pPr algn="l"/>
          <a:r>
            <a:rPr lang="pt-BR" sz="1200"/>
            <a:t>• Na coluna </a:t>
          </a:r>
          <a:r>
            <a:rPr lang="pt-BR" sz="1200" b="1"/>
            <a:t>'temporada'</a:t>
          </a:r>
          <a:r>
            <a:rPr lang="pt-BR" sz="1200" b="0"/>
            <a:t>, </a:t>
          </a:r>
          <a:r>
            <a:rPr lang="pt-BR" sz="1200" b="0" baseline="0"/>
            <a:t>todos os dados que não seguiam o padrão (YYYY/YY) foram formatados para que fossem apresentados desta maneira. Foi utilizada a ferramenta Localizar e Selecionar para substituir ocorrências onde o sinal de traço - estava presente ao invés do sinal de barra /.</a:t>
          </a:r>
        </a:p>
        <a:p>
          <a:pPr algn="l"/>
          <a:endParaRPr lang="pt-BR" sz="1200" b="0" baseline="0"/>
        </a:p>
        <a:p>
          <a:pPr algn="l"/>
          <a:r>
            <a:rPr lang="pt-BR" sz="1100">
              <a:solidFill>
                <a:schemeClr val="tx1"/>
              </a:solidFill>
              <a:effectLst/>
              <a:latin typeface="+mn-lt"/>
              <a:ea typeface="+mn-ea"/>
              <a:cs typeface="+mn-cs"/>
            </a:rPr>
            <a:t>• </a:t>
          </a:r>
          <a:r>
            <a:rPr lang="pt-BR" sz="1200">
              <a:solidFill>
                <a:schemeClr val="tx1"/>
              </a:solidFill>
              <a:effectLst/>
              <a:latin typeface="+mn-lt"/>
              <a:ea typeface="+mn-ea"/>
              <a:cs typeface="+mn-cs"/>
            </a:rPr>
            <a:t>Na</a:t>
          </a:r>
          <a:r>
            <a:rPr lang="pt-BR" sz="1200" baseline="0">
              <a:solidFill>
                <a:schemeClr val="tx1"/>
              </a:solidFill>
              <a:effectLst/>
              <a:latin typeface="+mn-lt"/>
              <a:ea typeface="+mn-ea"/>
              <a:cs typeface="+mn-cs"/>
            </a:rPr>
            <a:t> coluna </a:t>
          </a:r>
          <a:r>
            <a:rPr lang="pt-BR" sz="1200" b="1" baseline="0">
              <a:solidFill>
                <a:schemeClr val="tx1"/>
              </a:solidFill>
              <a:effectLst/>
              <a:latin typeface="+mn-lt"/>
              <a:ea typeface="+mn-ea"/>
              <a:cs typeface="+mn-cs"/>
            </a:rPr>
            <a:t>'tipo_movimentação'</a:t>
          </a:r>
          <a:r>
            <a:rPr lang="pt-BR" sz="1200" b="0" baseline="0">
              <a:solidFill>
                <a:schemeClr val="tx1"/>
              </a:solidFill>
              <a:effectLst/>
              <a:latin typeface="+mn-lt"/>
              <a:ea typeface="+mn-ea"/>
              <a:cs typeface="+mn-cs"/>
            </a:rPr>
            <a:t>, existem apenas dois valores: Entrada ou Saída. Contudo, haviam ocorrências de valores semelhantes escritos de formas diferentes, como ENTRADA e saida, por exemplo. Em vista disso, foi criada uma nova coluna com o mesmo nome porém com a formatação de todos os valores com a fórmula </a:t>
          </a:r>
          <a:r>
            <a:rPr lang="pt-BR" sz="1200" b="1" baseline="0">
              <a:solidFill>
                <a:schemeClr val="tx1"/>
              </a:solidFill>
              <a:effectLst/>
              <a:latin typeface="+mn-lt"/>
              <a:ea typeface="+mn-ea"/>
              <a:cs typeface="+mn-cs"/>
            </a:rPr>
            <a:t>=PRI.MAIÚSCULA()</a:t>
          </a:r>
          <a:r>
            <a:rPr lang="pt-BR" sz="1200" b="0" baseline="0">
              <a:solidFill>
                <a:schemeClr val="tx1"/>
              </a:solidFill>
              <a:effectLst/>
              <a:latin typeface="+mn-lt"/>
              <a:ea typeface="+mn-ea"/>
              <a:cs typeface="+mn-cs"/>
            </a:rPr>
            <a:t> para padronizar com a primeira letra maiúscula. Além disso, houveram a presença de dados ausentes. Como a base de dados não é tão grande, a decisão tomada foi pesquisar e incluir os dados faltantes na planilha.</a:t>
          </a:r>
        </a:p>
        <a:p>
          <a:pPr algn="l"/>
          <a:endParaRPr lang="pt-BR" sz="1200" b="0" baseline="0">
            <a:solidFill>
              <a:schemeClr val="tx1"/>
            </a:solidFill>
            <a:effectLst/>
            <a:latin typeface="+mn-lt"/>
            <a:ea typeface="+mn-ea"/>
            <a:cs typeface="+mn-cs"/>
          </a:endParaRPr>
        </a:p>
        <a:p>
          <a:pPr algn="l"/>
          <a:r>
            <a:rPr lang="pt-BR" sz="1100">
              <a:solidFill>
                <a:schemeClr val="tx1"/>
              </a:solidFill>
              <a:effectLst/>
              <a:latin typeface="+mn-lt"/>
              <a:ea typeface="+mn-ea"/>
              <a:cs typeface="+mn-cs"/>
            </a:rPr>
            <a:t>• </a:t>
          </a:r>
          <a:r>
            <a:rPr lang="pt-BR" sz="1200">
              <a:solidFill>
                <a:schemeClr val="tx1"/>
              </a:solidFill>
              <a:effectLst/>
              <a:latin typeface="+mn-lt"/>
              <a:ea typeface="+mn-ea"/>
              <a:cs typeface="+mn-cs"/>
            </a:rPr>
            <a:t>A coluna </a:t>
          </a:r>
          <a:r>
            <a:rPr lang="pt-BR" sz="1200" b="1">
              <a:solidFill>
                <a:schemeClr val="tx1"/>
              </a:solidFill>
              <a:effectLst/>
              <a:latin typeface="+mn-lt"/>
              <a:ea typeface="+mn-ea"/>
              <a:cs typeface="+mn-cs"/>
            </a:rPr>
            <a:t>'nome_jogador' </a:t>
          </a:r>
          <a:r>
            <a:rPr lang="pt-BR" sz="1200" b="0">
              <a:solidFill>
                <a:schemeClr val="tx1"/>
              </a:solidFill>
              <a:effectLst/>
              <a:latin typeface="+mn-lt"/>
              <a:ea typeface="+mn-ea"/>
              <a:cs typeface="+mn-cs"/>
            </a:rPr>
            <a:t>apresentou inconsistências como</a:t>
          </a:r>
          <a:r>
            <a:rPr lang="pt-BR" sz="1200" b="0" baseline="0">
              <a:solidFill>
                <a:schemeClr val="tx1"/>
              </a:solidFill>
              <a:effectLst/>
              <a:latin typeface="+mn-lt"/>
              <a:ea typeface="+mn-ea"/>
              <a:cs typeface="+mn-cs"/>
            </a:rPr>
            <a:t> falta de acentos e traços em nomes de determinados jogadores e elas foram resolvidas à mão. Analisando a variável, também conseguimos identificar a presença de um valor duplicado no caso do jogador Harry Kane e tratamos de excluí-lo com o auxílio da ferramenta Remover Duplicatas. Novamente, utilizamos a fórmula </a:t>
          </a:r>
          <a:r>
            <a:rPr lang="pt-BR" sz="1200" b="1" baseline="0">
              <a:solidFill>
                <a:schemeClr val="tx1"/>
              </a:solidFill>
              <a:effectLst/>
              <a:latin typeface="+mn-lt"/>
              <a:ea typeface="+mn-ea"/>
              <a:cs typeface="+mn-cs"/>
            </a:rPr>
            <a:t>=PRI.MAIÚSCULA() </a:t>
          </a:r>
          <a:r>
            <a:rPr lang="pt-BR" sz="1200" b="0" baseline="0">
              <a:solidFill>
                <a:schemeClr val="tx1"/>
              </a:solidFill>
              <a:effectLst/>
              <a:latin typeface="+mn-lt"/>
              <a:ea typeface="+mn-ea"/>
              <a:cs typeface="+mn-cs"/>
            </a:rPr>
            <a:t>para formatar corretamente o texto.</a:t>
          </a:r>
          <a:endParaRPr lang="pt-BR" sz="1200" b="0"/>
        </a:p>
        <a:p>
          <a:pPr algn="l"/>
          <a:endParaRPr lang="pt-BR" sz="1200"/>
        </a:p>
        <a:p>
          <a:pPr algn="l"/>
          <a:r>
            <a:rPr lang="pt-BR" sz="1100">
              <a:solidFill>
                <a:schemeClr val="tx1"/>
              </a:solidFill>
              <a:effectLst/>
              <a:latin typeface="+mn-lt"/>
              <a:ea typeface="+mn-ea"/>
              <a:cs typeface="+mn-cs"/>
            </a:rPr>
            <a:t>• </a:t>
          </a:r>
          <a:r>
            <a:rPr lang="pt-BR" sz="1200">
              <a:solidFill>
                <a:schemeClr val="tx1"/>
              </a:solidFill>
              <a:effectLst/>
              <a:latin typeface="+mn-lt"/>
              <a:ea typeface="+mn-ea"/>
              <a:cs typeface="+mn-cs"/>
            </a:rPr>
            <a:t>Na</a:t>
          </a:r>
          <a:r>
            <a:rPr lang="pt-BR" sz="1200" baseline="0">
              <a:solidFill>
                <a:schemeClr val="tx1"/>
              </a:solidFill>
              <a:effectLst/>
              <a:latin typeface="+mn-lt"/>
              <a:ea typeface="+mn-ea"/>
              <a:cs typeface="+mn-cs"/>
            </a:rPr>
            <a:t> coluna </a:t>
          </a:r>
          <a:r>
            <a:rPr lang="pt-BR" sz="1200" b="1" baseline="0">
              <a:solidFill>
                <a:schemeClr val="tx1"/>
              </a:solidFill>
              <a:effectLst/>
              <a:latin typeface="+mn-lt"/>
              <a:ea typeface="+mn-ea"/>
              <a:cs typeface="+mn-cs"/>
            </a:rPr>
            <a:t>'posição'</a:t>
          </a:r>
          <a:r>
            <a:rPr lang="pt-BR" sz="1200" b="0" baseline="0">
              <a:solidFill>
                <a:schemeClr val="tx1"/>
              </a:solidFill>
              <a:effectLst/>
              <a:latin typeface="+mn-lt"/>
              <a:ea typeface="+mn-ea"/>
              <a:cs typeface="+mn-cs"/>
            </a:rPr>
            <a:t>, foi identificada a presença de diversas posições distribuídas inconsistentemente. Em busca de padronizar os valores desta coluna, os mesmos foram modificados para que seguissem uma de três categorias: Defensor, Meio-campista ou Atacante. Desta forma, eles estarão em melhor estado quando as análises forem realizadas.</a:t>
          </a:r>
          <a:endParaRPr lang="pt-BR" sz="1200"/>
        </a:p>
        <a:p>
          <a:pPr algn="l"/>
          <a:endParaRPr lang="pt-BR" sz="1200"/>
        </a:p>
        <a:p>
          <a:pPr algn="l"/>
          <a:r>
            <a:rPr lang="pt-BR" sz="1200"/>
            <a:t>• Semelhantemente</a:t>
          </a:r>
          <a:r>
            <a:rPr lang="pt-BR" sz="1200" baseline="0"/>
            <a:t> às outras colunas, </a:t>
          </a:r>
          <a:r>
            <a:rPr lang="pt-BR" sz="1200" b="1" baseline="0"/>
            <a:t>'nacionalidade'</a:t>
          </a:r>
          <a:r>
            <a:rPr lang="pt-BR" sz="1200" b="0" baseline="0"/>
            <a:t> também apresentou registros inconsistentes quanto a formatação de letras maiúsculas, minúsculas e espaços desnecessários. Ambos os problemas foram resolvidos através da combinação das fórmulas </a:t>
          </a:r>
          <a:r>
            <a:rPr lang="pt-BR" sz="1200" b="1" baseline="0"/>
            <a:t>=ARRUMAR() </a:t>
          </a:r>
          <a:r>
            <a:rPr lang="pt-BR" sz="1200" b="0" baseline="0"/>
            <a:t>e </a:t>
          </a:r>
          <a:r>
            <a:rPr lang="pt-BR" sz="1200" b="1" baseline="0"/>
            <a:t>=PRI.MAIÚSCULA()</a:t>
          </a:r>
          <a:r>
            <a:rPr lang="pt-BR" sz="1200" b="0" baseline="0"/>
            <a:t>.</a:t>
          </a:r>
        </a:p>
        <a:p>
          <a:pPr algn="l"/>
          <a:endParaRPr lang="pt-BR" sz="1200"/>
        </a:p>
        <a:p>
          <a:pPr algn="l"/>
          <a:r>
            <a:rPr lang="pt-BR" sz="1100" b="0">
              <a:solidFill>
                <a:schemeClr val="tx1"/>
              </a:solidFill>
              <a:effectLst/>
              <a:latin typeface="+mn-lt"/>
              <a:ea typeface="+mn-ea"/>
              <a:cs typeface="+mn-cs"/>
            </a:rPr>
            <a:t>• </a:t>
          </a:r>
          <a:r>
            <a:rPr lang="pt-BR" sz="1200" b="0">
              <a:solidFill>
                <a:schemeClr val="tx1"/>
              </a:solidFill>
              <a:effectLst/>
              <a:latin typeface="+mn-lt"/>
              <a:ea typeface="+mn-ea"/>
              <a:cs typeface="+mn-cs"/>
            </a:rPr>
            <a:t>Em</a:t>
          </a:r>
          <a:r>
            <a:rPr lang="pt-BR" sz="1200" b="0" baseline="0">
              <a:solidFill>
                <a:schemeClr val="tx1"/>
              </a:solidFill>
              <a:effectLst/>
              <a:latin typeface="+mn-lt"/>
              <a:ea typeface="+mn-ea"/>
              <a:cs typeface="+mn-cs"/>
            </a:rPr>
            <a:t> </a:t>
          </a:r>
          <a:r>
            <a:rPr lang="pt-BR" sz="1200" b="1" baseline="0">
              <a:solidFill>
                <a:schemeClr val="tx1"/>
              </a:solidFill>
              <a:effectLst/>
              <a:latin typeface="+mn-lt"/>
              <a:ea typeface="+mn-ea"/>
              <a:cs typeface="+mn-cs"/>
            </a:rPr>
            <a:t>'clube'</a:t>
          </a:r>
          <a:r>
            <a:rPr lang="pt-BR" sz="1200" b="0" baseline="0">
              <a:solidFill>
                <a:schemeClr val="tx1"/>
              </a:solidFill>
              <a:effectLst/>
              <a:latin typeface="+mn-lt"/>
              <a:ea typeface="+mn-ea"/>
              <a:cs typeface="+mn-cs"/>
            </a:rPr>
            <a:t>, apenas pequenas correções relacionadas aos nomes dos clubes foram realizadas.</a:t>
          </a:r>
          <a:endParaRPr lang="pt-BR" sz="1200"/>
        </a:p>
        <a:p>
          <a:pPr algn="l"/>
          <a:endParaRPr lang="pt-BR" sz="1200"/>
        </a:p>
        <a:p>
          <a:pPr algn="l"/>
          <a:r>
            <a:rPr lang="pt-BR" sz="1100" b="0">
              <a:solidFill>
                <a:schemeClr val="tx1"/>
              </a:solidFill>
              <a:effectLst/>
              <a:latin typeface="+mn-lt"/>
              <a:ea typeface="+mn-ea"/>
              <a:cs typeface="+mn-cs"/>
            </a:rPr>
            <a:t>• </a:t>
          </a:r>
          <a:r>
            <a:rPr lang="pt-BR" sz="1200" b="0">
              <a:solidFill>
                <a:schemeClr val="tx1"/>
              </a:solidFill>
              <a:effectLst/>
              <a:latin typeface="+mn-lt"/>
              <a:ea typeface="+mn-ea"/>
              <a:cs typeface="+mn-cs"/>
            </a:rPr>
            <a:t>Na</a:t>
          </a:r>
          <a:r>
            <a:rPr lang="pt-BR" sz="1200" b="0" baseline="0">
              <a:solidFill>
                <a:schemeClr val="tx1"/>
              </a:solidFill>
              <a:effectLst/>
              <a:latin typeface="+mn-lt"/>
              <a:ea typeface="+mn-ea"/>
              <a:cs typeface="+mn-cs"/>
            </a:rPr>
            <a:t> coluna </a:t>
          </a:r>
          <a:r>
            <a:rPr lang="pt-BR" sz="1200" b="1" baseline="0">
              <a:solidFill>
                <a:schemeClr val="tx1"/>
              </a:solidFill>
              <a:effectLst/>
              <a:latin typeface="+mn-lt"/>
              <a:ea typeface="+mn-ea"/>
              <a:cs typeface="+mn-cs"/>
            </a:rPr>
            <a:t>'valor_transferencia'</a:t>
          </a:r>
          <a:r>
            <a:rPr lang="pt-BR" sz="1200" b="0" baseline="0">
              <a:solidFill>
                <a:schemeClr val="tx1"/>
              </a:solidFill>
              <a:effectLst/>
              <a:latin typeface="+mn-lt"/>
              <a:ea typeface="+mn-ea"/>
              <a:cs typeface="+mn-cs"/>
            </a:rPr>
            <a:t>, foi possível identificar diversas inconsistências. Primeiramente, os dados estavam disponibilizados em formatos monetários diferentes (por exemplo, 35M e 45.000.000 na mesma coluna), o que nos levou a modificar cada um dos registros manualmente. Esta decisão foi tomada considerando, principalmente, o tamanho da base de dados. Caso a mesma fosse maior, seria necessária outra abordagem. Em seguida, formatamos os valores como Número e para Moeda. Alguns jogadores estão com instâncias onde o 0 está presente, o que indica que sua entrada/saída não custou dinheiro ao clube.</a:t>
          </a:r>
          <a:endParaRPr lang="pt-BR" sz="1200"/>
        </a:p>
        <a:p>
          <a:pPr algn="l"/>
          <a:endParaRPr lang="pt-BR" sz="1200"/>
        </a:p>
        <a:p>
          <a:pPr algn="l"/>
          <a:r>
            <a:rPr lang="pt-BR" sz="1200" b="0"/>
            <a:t>•</a:t>
          </a:r>
          <a:r>
            <a:rPr lang="pt-BR" sz="1200" b="1"/>
            <a:t> </a:t>
          </a:r>
          <a:r>
            <a:rPr lang="pt-BR" sz="1200" b="0"/>
            <a:t>Em</a:t>
          </a:r>
          <a:r>
            <a:rPr lang="pt-BR" sz="1200" b="0" baseline="0"/>
            <a:t> relação à coluna </a:t>
          </a:r>
          <a:r>
            <a:rPr lang="pt-BR" sz="1200" b="1" baseline="0"/>
            <a:t>'idade'</a:t>
          </a:r>
          <a:r>
            <a:rPr lang="pt-BR" sz="1200" b="0" baseline="0"/>
            <a:t>, foi necessário formatá-la inteiramente como Número para que seus valores assumissem o tipo correto.</a:t>
          </a:r>
        </a:p>
        <a:p>
          <a:pPr algn="l"/>
          <a:endParaRPr lang="pt-BR" sz="1200" b="0" baseline="0"/>
        </a:p>
        <a:p>
          <a:pPr algn="l"/>
          <a:r>
            <a:rPr lang="pt-BR" sz="1200" b="0"/>
            <a:t>•</a:t>
          </a:r>
          <a:r>
            <a:rPr lang="pt-BR" sz="1200" b="1"/>
            <a:t> </a:t>
          </a:r>
          <a:r>
            <a:rPr lang="pt-BR" sz="1200" b="0"/>
            <a:t>Na</a:t>
          </a:r>
          <a:r>
            <a:rPr lang="pt-BR" sz="1200" b="0" baseline="0"/>
            <a:t> coluna </a:t>
          </a:r>
          <a:r>
            <a:rPr lang="pt-BR" sz="1200" b="1" baseline="0"/>
            <a:t>'tipo_negociacao'</a:t>
          </a:r>
          <a:r>
            <a:rPr lang="pt-BR" sz="1200" b="0" baseline="0"/>
            <a:t>, foram utilizadas as fórmulas </a:t>
          </a:r>
          <a:r>
            <a:rPr lang="pt-BR" sz="1200" b="1" baseline="0"/>
            <a:t>=ARRUMAR()</a:t>
          </a:r>
          <a:r>
            <a:rPr lang="pt-BR" sz="1200" b="0" baseline="0"/>
            <a:t> e </a:t>
          </a:r>
          <a:r>
            <a:rPr lang="pt-BR" sz="1200" b="1" baseline="0"/>
            <a:t>=PRI.MAIÚSCULA() </a:t>
          </a:r>
          <a:r>
            <a:rPr lang="pt-BR" sz="1200" b="0" baseline="0"/>
            <a:t>para formatarmos os valores.</a:t>
          </a:r>
          <a:endParaRPr lang="pt-BR" sz="1200" b="0"/>
        </a:p>
      </xdr:txBody>
    </xdr:sp>
    <xdr:clientData/>
  </xdr:oneCellAnchor>
  <xdr:oneCellAnchor>
    <xdr:from>
      <xdr:col>0</xdr:col>
      <xdr:colOff>182274</xdr:colOff>
      <xdr:row>39</xdr:row>
      <xdr:rowOff>19050</xdr:rowOff>
    </xdr:from>
    <xdr:ext cx="1089722" cy="327141"/>
    <xdr:sp macro="" textlink="">
      <xdr:nvSpPr>
        <xdr:cNvPr id="5" name="CaixaDeTexto 4">
          <a:extLst>
            <a:ext uri="{FF2B5EF4-FFF2-40B4-BE49-F238E27FC236}">
              <a16:creationId xmlns:a16="http://schemas.microsoft.com/office/drawing/2014/main" id="{6C786A4C-B0FC-4E5F-AD02-BC4A3FA750C2}"/>
            </a:ext>
          </a:extLst>
        </xdr:cNvPr>
        <xdr:cNvSpPr txBox="1"/>
      </xdr:nvSpPr>
      <xdr:spPr>
        <a:xfrm>
          <a:off x="182274" y="7448550"/>
          <a:ext cx="1089722"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2. Análises:</a:t>
          </a:r>
        </a:p>
      </xdr:txBody>
    </xdr:sp>
    <xdr:clientData/>
  </xdr:oneCellAnchor>
  <xdr:oneCellAnchor>
    <xdr:from>
      <xdr:col>0</xdr:col>
      <xdr:colOff>190500</xdr:colOff>
      <xdr:row>41</xdr:row>
      <xdr:rowOff>57150</xdr:rowOff>
    </xdr:from>
    <xdr:ext cx="12148329" cy="7795083"/>
    <xdr:sp macro="" textlink="">
      <xdr:nvSpPr>
        <xdr:cNvPr id="6" name="CaixaDeTexto 5">
          <a:extLst>
            <a:ext uri="{FF2B5EF4-FFF2-40B4-BE49-F238E27FC236}">
              <a16:creationId xmlns:a16="http://schemas.microsoft.com/office/drawing/2014/main" id="{B3276CCD-3451-4463-A90F-1B3080FC64A9}"/>
            </a:ext>
          </a:extLst>
        </xdr:cNvPr>
        <xdr:cNvSpPr txBox="1"/>
      </xdr:nvSpPr>
      <xdr:spPr>
        <a:xfrm>
          <a:off x="190500" y="7867650"/>
          <a:ext cx="12148329" cy="77950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 </a:t>
          </a:r>
          <a:r>
            <a:rPr lang="pt-BR" sz="1200" b="1"/>
            <a:t>1ª</a:t>
          </a:r>
          <a:r>
            <a:rPr lang="pt-BR" sz="1200" b="1" baseline="0"/>
            <a:t> análise: </a:t>
          </a:r>
          <a:r>
            <a:rPr lang="pt-BR" sz="1200" b="0" baseline="0"/>
            <a:t>No processo da primeira análise, criei uma tabela dinâmica baseando-se em três colunas essenciais: </a:t>
          </a:r>
          <a:r>
            <a:rPr lang="pt-BR" sz="1200" b="1" baseline="0"/>
            <a:t>temporada</a:t>
          </a:r>
          <a:r>
            <a:rPr lang="pt-BR" sz="1200" b="0" baseline="0"/>
            <a:t>, </a:t>
          </a:r>
          <a:r>
            <a:rPr lang="pt-BR" sz="1200" b="1" baseline="0"/>
            <a:t>tipo_movimentação </a:t>
          </a:r>
          <a:r>
            <a:rPr lang="pt-BR" sz="1200" b="0" baseline="0"/>
            <a:t>e </a:t>
          </a:r>
          <a:r>
            <a:rPr lang="pt-BR" sz="1200" b="1" baseline="0"/>
            <a:t>valor_transferência</a:t>
          </a:r>
          <a:r>
            <a:rPr lang="pt-BR" sz="1200" b="0" baseline="0"/>
            <a:t>. Utilizei tipo_movimentação como coluna para disponibilizar as duas categorias presentes nela: "Entrada" ou "Saída". Desta forma, cada uma seria apresentada como uma coluna diferente na visualização da tabela dinâmica. Por fim, incluí valor_transferência no campo de valores para mostrar cada cifra no formato de soma.</a:t>
          </a:r>
        </a:p>
        <a:p>
          <a:pPr algn="l"/>
          <a:endParaRPr lang="pt-BR" sz="1200" b="0" baseline="0"/>
        </a:p>
        <a:p>
          <a:pPr algn="l"/>
          <a:r>
            <a:rPr lang="pt-BR" sz="1200">
              <a:solidFill>
                <a:schemeClr val="tx1"/>
              </a:solidFill>
              <a:effectLst/>
              <a:latin typeface="+mn-lt"/>
              <a:ea typeface="+mn-ea"/>
              <a:cs typeface="+mn-cs"/>
            </a:rPr>
            <a:t>• </a:t>
          </a:r>
          <a:r>
            <a:rPr lang="pt-BR" sz="1200" b="1">
              <a:solidFill>
                <a:schemeClr val="tx1"/>
              </a:solidFill>
              <a:effectLst/>
              <a:latin typeface="+mn-lt"/>
              <a:ea typeface="+mn-ea"/>
              <a:cs typeface="+mn-cs"/>
            </a:rPr>
            <a:t>2ª</a:t>
          </a:r>
          <a:r>
            <a:rPr lang="pt-BR" sz="1200" b="1" baseline="0">
              <a:solidFill>
                <a:schemeClr val="tx1"/>
              </a:solidFill>
              <a:effectLst/>
              <a:latin typeface="+mn-lt"/>
              <a:ea typeface="+mn-ea"/>
              <a:cs typeface="+mn-cs"/>
            </a:rPr>
            <a:t> análise: </a:t>
          </a:r>
          <a:r>
            <a:rPr lang="pt-BR" sz="1200" b="0" baseline="0">
              <a:solidFill>
                <a:schemeClr val="tx1"/>
              </a:solidFill>
              <a:effectLst/>
              <a:latin typeface="+mn-lt"/>
              <a:ea typeface="+mn-ea"/>
              <a:cs typeface="+mn-cs"/>
            </a:rPr>
            <a:t>Na segunda análise, utilizei a variável </a:t>
          </a:r>
          <a:r>
            <a:rPr lang="pt-BR" sz="1200" b="1" baseline="0">
              <a:solidFill>
                <a:schemeClr val="tx1"/>
              </a:solidFill>
              <a:effectLst/>
              <a:latin typeface="+mn-lt"/>
              <a:ea typeface="+mn-ea"/>
              <a:cs typeface="+mn-cs"/>
            </a:rPr>
            <a:t>posição</a:t>
          </a:r>
          <a:r>
            <a:rPr lang="pt-BR" sz="1200" b="0" baseline="0">
              <a:solidFill>
                <a:schemeClr val="tx1"/>
              </a:solidFill>
              <a:effectLst/>
              <a:latin typeface="+mn-lt"/>
              <a:ea typeface="+mn-ea"/>
              <a:cs typeface="+mn-cs"/>
            </a:rPr>
            <a:t> juntamente à coluna </a:t>
          </a:r>
          <a:r>
            <a:rPr lang="pt-BR" sz="1200" b="1" baseline="0">
              <a:solidFill>
                <a:schemeClr val="tx1"/>
              </a:solidFill>
              <a:effectLst/>
              <a:latin typeface="+mn-lt"/>
              <a:ea typeface="+mn-ea"/>
              <a:cs typeface="+mn-cs"/>
            </a:rPr>
            <a:t>tipo_movimentação</a:t>
          </a:r>
          <a:r>
            <a:rPr lang="pt-BR" sz="1200" b="0" baseline="0">
              <a:solidFill>
                <a:schemeClr val="tx1"/>
              </a:solidFill>
              <a:effectLst/>
              <a:latin typeface="+mn-lt"/>
              <a:ea typeface="+mn-ea"/>
              <a:cs typeface="+mn-cs"/>
            </a:rPr>
            <a:t> filtrada pelo valor "Entrada" para especificar que eu desejava obter apenas os dados de quem chegou ao clube. Em seguida, no campo de Valores, introduzi as cifras somadas destes jogadores através da inserção de </a:t>
          </a:r>
          <a:r>
            <a:rPr lang="pt-BR" sz="1200" b="1" baseline="0">
              <a:solidFill>
                <a:schemeClr val="tx1"/>
              </a:solidFill>
              <a:effectLst/>
              <a:latin typeface="+mn-lt"/>
              <a:ea typeface="+mn-ea"/>
              <a:cs typeface="+mn-cs"/>
            </a:rPr>
            <a:t>valor_transferência</a:t>
          </a:r>
          <a:r>
            <a:rPr lang="pt-BR" sz="1200" b="0" baseline="0">
              <a:solidFill>
                <a:schemeClr val="tx1"/>
              </a:solidFill>
              <a:effectLst/>
              <a:latin typeface="+mn-lt"/>
              <a:ea typeface="+mn-ea"/>
              <a:cs typeface="+mn-cs"/>
            </a:rPr>
            <a:t> na tabela dinâmica. Semelhante à análise anterior, também criei uma tabela adjacente porém contendo todas as posições dos jogadores e o quanto seus percentuais representavam em relação ao total. Para tanto, selecionei individualmente cada valor pela posição e dividi pelo resultado da soma entre todos.</a:t>
          </a:r>
        </a:p>
        <a:p>
          <a:pPr algn="l"/>
          <a:endParaRPr lang="pt-BR" sz="1200" b="0" baseline="0">
            <a:solidFill>
              <a:schemeClr val="tx1"/>
            </a:solidFill>
            <a:effectLst/>
            <a:latin typeface="+mn-lt"/>
            <a:ea typeface="+mn-ea"/>
            <a:cs typeface="+mn-cs"/>
          </a:endParaRPr>
        </a:p>
        <a:p>
          <a:pPr algn="l"/>
          <a:r>
            <a:rPr lang="pt-BR" sz="1200" b="0" baseline="0">
              <a:solidFill>
                <a:schemeClr val="tx1"/>
              </a:solidFill>
              <a:effectLst/>
              <a:latin typeface="+mn-lt"/>
              <a:ea typeface="+mn-ea"/>
              <a:cs typeface="+mn-cs"/>
            </a:rPr>
            <a:t>Optei pelos gráficos de barras agrupadas e pizza pois contávamos com poucas categorias, o que se encaixava bem com a proposta de cada tipo de gráfico.</a:t>
          </a:r>
          <a:endParaRPr lang="pt-BR" sz="1200" b="0" baseline="0"/>
        </a:p>
        <a:p>
          <a:pPr algn="l"/>
          <a:r>
            <a:rPr lang="pt-BR" sz="1200"/>
            <a:t> </a:t>
          </a:r>
        </a:p>
        <a:p>
          <a:pPr algn="l"/>
          <a:r>
            <a:rPr lang="pt-BR" sz="1200"/>
            <a:t>• </a:t>
          </a:r>
          <a:r>
            <a:rPr lang="pt-BR" sz="1200" b="1"/>
            <a:t>3ª</a:t>
          </a:r>
          <a:r>
            <a:rPr lang="pt-BR" sz="1200" b="1" baseline="0"/>
            <a:t> análise: </a:t>
          </a:r>
          <a:r>
            <a:rPr lang="pt-BR" sz="1200" b="0" baseline="0"/>
            <a:t>Na terceira análise, antes de tudo, resolvi voltar na aba de Dados Tratados e criar uma coluna chamada </a:t>
          </a:r>
          <a:r>
            <a:rPr lang="pt-BR" sz="1200" b="1" baseline="0"/>
            <a:t>faixa_etária</a:t>
          </a:r>
          <a:r>
            <a:rPr lang="pt-BR" sz="1200" b="0" baseline="0"/>
            <a:t>. Trata-se de uma variável contendo classificações relacionadas a idade de cada jogador. Por exemplo: caso um atleta tenha 20 anos, ele será considerado como Muito Jovem. Agora, se ele possuir 34 anos, será considerado um Veterano. Para criá-la, utilizei a fórmula =SE(E) aninhada com outras condições desta maneira:</a:t>
          </a:r>
        </a:p>
        <a:p>
          <a:pPr algn="l"/>
          <a:endParaRPr lang="pt-BR" sz="1200" b="0" baseline="0"/>
        </a:p>
        <a:p>
          <a:pPr algn="l"/>
          <a:endParaRPr lang="pt-BR" sz="1200" b="0" baseline="0"/>
        </a:p>
        <a:p>
          <a:pPr algn="l"/>
          <a:endParaRPr lang="pt-BR" sz="1200" b="0" baseline="0"/>
        </a:p>
        <a:p>
          <a:pPr algn="l"/>
          <a:endParaRPr lang="pt-BR" sz="1200" b="0" baseline="0"/>
        </a:p>
        <a:p>
          <a:pPr algn="l"/>
          <a:r>
            <a:rPr lang="pt-BR" sz="1200" b="0" baseline="0"/>
            <a:t>Na tabela dinâmica, optei por colocá-la em Linhas e em Valores como forma de contagem e o </a:t>
          </a:r>
          <a:r>
            <a:rPr lang="pt-BR" sz="1200" b="1" baseline="0"/>
            <a:t>tipo_movimentação</a:t>
          </a:r>
          <a:r>
            <a:rPr lang="pt-BR" sz="1200" b="0" baseline="0"/>
            <a:t> em Colunas para filtrar os resultados correspondentes à "Entrada". Além disso, como nas outras análises, também criei uma tabela adjacente contendo as classificações distribuídas em porcentagem.</a:t>
          </a:r>
        </a:p>
        <a:p>
          <a:pPr algn="l"/>
          <a:endParaRPr lang="pt-BR" sz="1200" b="0" baseline="0"/>
        </a:p>
        <a:p>
          <a:pPr algn="l"/>
          <a:r>
            <a:rPr lang="pt-BR" sz="1200" b="1">
              <a:solidFill>
                <a:schemeClr val="tx1"/>
              </a:solidFill>
              <a:effectLst/>
              <a:latin typeface="+mn-lt"/>
              <a:ea typeface="+mn-ea"/>
              <a:cs typeface="+mn-cs"/>
            </a:rPr>
            <a:t>• 4ª</a:t>
          </a:r>
          <a:r>
            <a:rPr lang="pt-BR" sz="1200" b="1" baseline="0">
              <a:solidFill>
                <a:schemeClr val="tx1"/>
              </a:solidFill>
              <a:effectLst/>
              <a:latin typeface="+mn-lt"/>
              <a:ea typeface="+mn-ea"/>
              <a:cs typeface="+mn-cs"/>
            </a:rPr>
            <a:t> análise: </a:t>
          </a:r>
          <a:r>
            <a:rPr lang="pt-BR" sz="1200" b="0" baseline="0">
              <a:solidFill>
                <a:schemeClr val="tx1"/>
              </a:solidFill>
              <a:effectLst/>
              <a:latin typeface="+mn-lt"/>
              <a:ea typeface="+mn-ea"/>
              <a:cs typeface="+mn-cs"/>
            </a:rPr>
            <a:t>A quarta análise foi a mais interessante até o momento. Comecei criando uma tabela dinâmica com a coluna </a:t>
          </a:r>
          <a:r>
            <a:rPr lang="pt-BR" sz="1200" b="1" baseline="0">
              <a:solidFill>
                <a:schemeClr val="tx1"/>
              </a:solidFill>
              <a:effectLst/>
              <a:latin typeface="+mn-lt"/>
              <a:ea typeface="+mn-ea"/>
              <a:cs typeface="+mn-cs"/>
            </a:rPr>
            <a:t>nacionalidade</a:t>
          </a:r>
          <a:r>
            <a:rPr lang="pt-BR" sz="1200" b="0" baseline="0">
              <a:solidFill>
                <a:schemeClr val="tx1"/>
              </a:solidFill>
              <a:effectLst/>
              <a:latin typeface="+mn-lt"/>
              <a:ea typeface="+mn-ea"/>
              <a:cs typeface="+mn-cs"/>
            </a:rPr>
            <a:t> filtrada por "Entrada" da variável </a:t>
          </a:r>
          <a:r>
            <a:rPr lang="pt-BR" sz="1200" b="1" baseline="0">
              <a:solidFill>
                <a:schemeClr val="tx1"/>
              </a:solidFill>
              <a:effectLst/>
              <a:latin typeface="+mn-lt"/>
              <a:ea typeface="+mn-ea"/>
              <a:cs typeface="+mn-cs"/>
            </a:rPr>
            <a:t>tipo_movimentação</a:t>
          </a:r>
          <a:r>
            <a:rPr lang="pt-BR" sz="1200" b="0" baseline="0">
              <a:solidFill>
                <a:schemeClr val="tx1"/>
              </a:solidFill>
              <a:effectLst/>
              <a:latin typeface="+mn-lt"/>
              <a:ea typeface="+mn-ea"/>
              <a:cs typeface="+mn-cs"/>
            </a:rPr>
            <a:t> para que tenhamos apenas as contratações. Em seguida, utilizei novamente </a:t>
          </a:r>
          <a:r>
            <a:rPr lang="pt-BR" sz="1200" b="1" baseline="0">
              <a:solidFill>
                <a:schemeClr val="tx1"/>
              </a:solidFill>
              <a:effectLst/>
              <a:latin typeface="+mn-lt"/>
              <a:ea typeface="+mn-ea"/>
              <a:cs typeface="+mn-cs"/>
            </a:rPr>
            <a:t>nacionalidade</a:t>
          </a:r>
          <a:r>
            <a:rPr lang="pt-BR" sz="1200" b="0" baseline="0">
              <a:solidFill>
                <a:schemeClr val="tx1"/>
              </a:solidFill>
              <a:effectLst/>
              <a:latin typeface="+mn-lt"/>
              <a:ea typeface="+mn-ea"/>
              <a:cs typeface="+mn-cs"/>
            </a:rPr>
            <a:t> porém no campo de Valores para obter os valores em formato de contagem. A partir daí, prossegui para a criação do gráfico mais adequado para a ocasião: o gráfico de barras horizontais. Entretanto, surgiu um problema: analisando apenas o gráfico, a análise se tornaria redundante, pois quem estivesse lendo concluiria tudo através do gráfico, sem contexto extra.</a:t>
          </a:r>
          <a:br>
            <a:rPr lang="pt-BR" sz="1200" b="0" baseline="0">
              <a:solidFill>
                <a:schemeClr val="tx1"/>
              </a:solidFill>
              <a:effectLst/>
              <a:latin typeface="+mn-lt"/>
              <a:ea typeface="+mn-ea"/>
              <a:cs typeface="+mn-cs"/>
            </a:rPr>
          </a:br>
          <a:br>
            <a:rPr lang="pt-BR" sz="1200" b="0" baseline="0">
              <a:solidFill>
                <a:schemeClr val="tx1"/>
              </a:solidFill>
              <a:effectLst/>
              <a:latin typeface="+mn-lt"/>
              <a:ea typeface="+mn-ea"/>
              <a:cs typeface="+mn-cs"/>
            </a:rPr>
          </a:br>
          <a:r>
            <a:rPr lang="pt-BR" sz="1200" b="0" baseline="0">
              <a:solidFill>
                <a:schemeClr val="tx1"/>
              </a:solidFill>
              <a:effectLst/>
              <a:latin typeface="+mn-lt"/>
              <a:ea typeface="+mn-ea"/>
              <a:cs typeface="+mn-cs"/>
            </a:rPr>
            <a:t>Pensando nisso, resolvi enriquecer a análise ao conectar o tema central da pergunta a outras variáveis. Criei outra tabela dinâmica, porém desta vez com a variável </a:t>
          </a:r>
          <a:r>
            <a:rPr lang="pt-BR" sz="1200" b="1" baseline="0">
              <a:solidFill>
                <a:schemeClr val="tx1"/>
              </a:solidFill>
              <a:effectLst/>
              <a:latin typeface="+mn-lt"/>
              <a:ea typeface="+mn-ea"/>
              <a:cs typeface="+mn-cs"/>
            </a:rPr>
            <a:t>clube</a:t>
          </a:r>
          <a:r>
            <a:rPr lang="pt-BR" sz="1200" b="0" baseline="0">
              <a:solidFill>
                <a:schemeClr val="tx1"/>
              </a:solidFill>
              <a:effectLst/>
              <a:latin typeface="+mn-lt"/>
              <a:ea typeface="+mn-ea"/>
              <a:cs typeface="+mn-cs"/>
            </a:rPr>
            <a:t>, que não havia sido utilizada anteriormente, e comecei a entender quais eram os clubes de origens dos jogadores contratados pelo Tottenham Hotspur. Partindo desse ponto, tracei um paralelo entre as nacionalidades dos jogadores e suas equipes anteriores, o que gerou uma análise bem mais rica.</a:t>
          </a:r>
          <a:endParaRPr lang="pt-BR" sz="1200" b="1">
            <a:solidFill>
              <a:schemeClr val="tx1"/>
            </a:solidFill>
            <a:effectLst/>
            <a:latin typeface="+mn-lt"/>
            <a:ea typeface="+mn-ea"/>
            <a:cs typeface="+mn-cs"/>
          </a:endParaRPr>
        </a:p>
        <a:p>
          <a:pPr algn="l"/>
          <a:endParaRPr lang="pt-BR" sz="1200" b="0" baseline="0">
            <a:solidFill>
              <a:schemeClr val="tx1"/>
            </a:solidFill>
            <a:effectLst/>
            <a:latin typeface="+mn-lt"/>
            <a:ea typeface="+mn-ea"/>
            <a:cs typeface="+mn-cs"/>
          </a:endParaRPr>
        </a:p>
        <a:p>
          <a:pPr algn="l"/>
          <a:r>
            <a:rPr lang="pt-BR" sz="1100">
              <a:solidFill>
                <a:schemeClr val="tx1"/>
              </a:solidFill>
              <a:effectLst/>
              <a:latin typeface="+mn-lt"/>
              <a:ea typeface="+mn-ea"/>
              <a:cs typeface="+mn-cs"/>
            </a:rPr>
            <a:t>• </a:t>
          </a:r>
          <a:r>
            <a:rPr lang="pt-BR" sz="1200" b="1">
              <a:solidFill>
                <a:schemeClr val="tx1"/>
              </a:solidFill>
              <a:effectLst/>
              <a:latin typeface="+mn-lt"/>
              <a:ea typeface="+mn-ea"/>
              <a:cs typeface="+mn-cs"/>
            </a:rPr>
            <a:t>5ª</a:t>
          </a:r>
          <a:r>
            <a:rPr lang="pt-BR" sz="1200" b="1" baseline="0">
              <a:solidFill>
                <a:schemeClr val="tx1"/>
              </a:solidFill>
              <a:effectLst/>
              <a:latin typeface="+mn-lt"/>
              <a:ea typeface="+mn-ea"/>
              <a:cs typeface="+mn-cs"/>
            </a:rPr>
            <a:t> análise: </a:t>
          </a:r>
          <a:r>
            <a:rPr lang="pt-BR" sz="1200" b="0" baseline="0">
              <a:solidFill>
                <a:schemeClr val="tx1"/>
              </a:solidFill>
              <a:effectLst/>
              <a:latin typeface="+mn-lt"/>
              <a:ea typeface="+mn-ea"/>
              <a:cs typeface="+mn-cs"/>
            </a:rPr>
            <a:t>A quinta análise foi construída de uma forma semelhante à terceira e diferente da segunda que, em teoria, seria sua contraparte. A pergunta de negócio relacionada a ela consistia em: </a:t>
          </a:r>
          <a:r>
            <a:rPr lang="pt-BR" sz="1200" b="0" i="1" baseline="0">
              <a:solidFill>
                <a:schemeClr val="tx1"/>
              </a:solidFill>
              <a:effectLst/>
              <a:latin typeface="+mn-lt"/>
              <a:ea typeface="+mn-ea"/>
              <a:cs typeface="+mn-cs"/>
            </a:rPr>
            <a:t>"Quais posições geraram maior retorno financeiro ao clube?"</a:t>
          </a:r>
          <a:r>
            <a:rPr lang="pt-BR" sz="1200" b="0" i="0" baseline="0">
              <a:solidFill>
                <a:schemeClr val="tx1"/>
              </a:solidFill>
              <a:effectLst/>
              <a:latin typeface="+mn-lt"/>
              <a:ea typeface="+mn-ea"/>
              <a:cs typeface="+mn-cs"/>
            </a:rPr>
            <a:t>. Pensando nisso, realizei uma tabela dinâmica com a variável </a:t>
          </a:r>
          <a:r>
            <a:rPr lang="pt-BR" sz="1200" b="1" i="0" baseline="0">
              <a:solidFill>
                <a:schemeClr val="tx1"/>
              </a:solidFill>
              <a:effectLst/>
              <a:latin typeface="+mn-lt"/>
              <a:ea typeface="+mn-ea"/>
              <a:cs typeface="+mn-cs"/>
            </a:rPr>
            <a:t>posição</a:t>
          </a:r>
          <a:r>
            <a:rPr lang="pt-BR" sz="1200" b="0" i="0" baseline="0">
              <a:solidFill>
                <a:schemeClr val="tx1"/>
              </a:solidFill>
              <a:effectLst/>
              <a:latin typeface="+mn-lt"/>
              <a:ea typeface="+mn-ea"/>
              <a:cs typeface="+mn-cs"/>
            </a:rPr>
            <a:t> enquanto a filtrava pelo valor </a:t>
          </a:r>
          <a:r>
            <a:rPr lang="pt-BR" sz="1200" b="1" i="0" baseline="0">
              <a:solidFill>
                <a:schemeClr val="tx1"/>
              </a:solidFill>
              <a:effectLst/>
              <a:latin typeface="+mn-lt"/>
              <a:ea typeface="+mn-ea"/>
              <a:cs typeface="+mn-cs"/>
            </a:rPr>
            <a:t>Saída</a:t>
          </a:r>
          <a:r>
            <a:rPr lang="pt-BR" sz="1200" b="0" i="0" baseline="0">
              <a:solidFill>
                <a:schemeClr val="tx1"/>
              </a:solidFill>
              <a:effectLst/>
              <a:latin typeface="+mn-lt"/>
              <a:ea typeface="+mn-ea"/>
              <a:cs typeface="+mn-cs"/>
            </a:rPr>
            <a:t> da coluna </a:t>
          </a:r>
          <a:r>
            <a:rPr lang="pt-BR" sz="1200" b="1" i="0" baseline="0">
              <a:solidFill>
                <a:schemeClr val="tx1"/>
              </a:solidFill>
              <a:effectLst/>
              <a:latin typeface="+mn-lt"/>
              <a:ea typeface="+mn-ea"/>
              <a:cs typeface="+mn-cs"/>
            </a:rPr>
            <a:t>tipo_movimentação</a:t>
          </a:r>
          <a:r>
            <a:rPr lang="pt-BR" sz="1200" b="0" i="0" baseline="0">
              <a:solidFill>
                <a:schemeClr val="tx1"/>
              </a:solidFill>
              <a:effectLst/>
              <a:latin typeface="+mn-lt"/>
              <a:ea typeface="+mn-ea"/>
              <a:cs typeface="+mn-cs"/>
            </a:rPr>
            <a:t>. Ao invés de apenas incluir essas duas variáveis, decidi adicionar a coluna </a:t>
          </a:r>
          <a:r>
            <a:rPr lang="pt-BR" sz="1200" b="1" i="0" baseline="0">
              <a:solidFill>
                <a:schemeClr val="tx1"/>
              </a:solidFill>
              <a:effectLst/>
              <a:latin typeface="+mn-lt"/>
              <a:ea typeface="+mn-ea"/>
              <a:cs typeface="+mn-cs"/>
            </a:rPr>
            <a:t>jogador</a:t>
          </a:r>
          <a:r>
            <a:rPr lang="pt-BR" sz="1200" b="0" i="0" baseline="0">
              <a:solidFill>
                <a:schemeClr val="tx1"/>
              </a:solidFill>
              <a:effectLst/>
              <a:latin typeface="+mn-lt"/>
              <a:ea typeface="+mn-ea"/>
              <a:cs typeface="+mn-cs"/>
            </a:rPr>
            <a:t> na tabela para que a análise se tornasse algo mais rico. Além de evidenciar quais posições, de fato, geraram maior retorno financeiro ao Tottenham Hotspur, também foram incluídos quais jogadores contribuiram para este processo.</a:t>
          </a:r>
        </a:p>
        <a:p>
          <a:pPr algn="l"/>
          <a:endParaRPr lang="pt-BR" sz="1200" b="0" i="0" baseline="0">
            <a:solidFill>
              <a:schemeClr val="tx1"/>
            </a:solidFill>
            <a:effectLst/>
            <a:latin typeface="+mn-lt"/>
            <a:ea typeface="+mn-ea"/>
            <a:cs typeface="+mn-cs"/>
          </a:endParaRPr>
        </a:p>
        <a:p>
          <a:pPr algn="l"/>
          <a:r>
            <a:rPr lang="pt-BR" sz="1200" b="0" i="0" baseline="0">
              <a:solidFill>
                <a:schemeClr val="tx1"/>
              </a:solidFill>
              <a:effectLst/>
              <a:latin typeface="+mn-lt"/>
              <a:ea typeface="+mn-ea"/>
              <a:cs typeface="+mn-cs"/>
            </a:rPr>
            <a:t>Essa decisão foi algo que enriqueceu o conteúdo da análise, visto que, em decorrência dela, percebemos que mais da metade desse retorno financeiro concentrou-se em apenas um jogador — no caso, </a:t>
          </a:r>
          <a:r>
            <a:rPr lang="pt-BR" sz="1200" b="1" i="0" baseline="0">
              <a:solidFill>
                <a:schemeClr val="tx1"/>
              </a:solidFill>
              <a:effectLst/>
              <a:latin typeface="+mn-lt"/>
              <a:ea typeface="+mn-ea"/>
              <a:cs typeface="+mn-cs"/>
            </a:rPr>
            <a:t>Harry Kane</a:t>
          </a:r>
          <a:r>
            <a:rPr lang="pt-BR" sz="1200" b="0" i="0" baseline="0">
              <a:solidFill>
                <a:schemeClr val="tx1"/>
              </a:solidFill>
              <a:effectLst/>
              <a:latin typeface="+mn-lt"/>
              <a:ea typeface="+mn-ea"/>
              <a:cs typeface="+mn-cs"/>
            </a:rPr>
            <a:t>.</a:t>
          </a:r>
          <a:endParaRPr lang="pt-BR" sz="1200" b="1" baseline="0">
            <a:solidFill>
              <a:schemeClr val="tx1"/>
            </a:solidFill>
            <a:effectLst/>
            <a:latin typeface="+mn-lt"/>
            <a:ea typeface="+mn-ea"/>
            <a:cs typeface="+mn-cs"/>
          </a:endParaRPr>
        </a:p>
        <a:p>
          <a:pPr algn="l"/>
          <a:endParaRPr lang="pt-BR" sz="1200"/>
        </a:p>
        <a:p>
          <a:pPr algn="l"/>
          <a:r>
            <a:rPr lang="pt-BR" sz="1100">
              <a:solidFill>
                <a:schemeClr val="tx1"/>
              </a:solidFill>
              <a:effectLst/>
              <a:latin typeface="+mn-lt"/>
              <a:ea typeface="+mn-ea"/>
              <a:cs typeface="+mn-cs"/>
            </a:rPr>
            <a:t>• </a:t>
          </a:r>
          <a:r>
            <a:rPr lang="pt-BR" sz="1200" b="1">
              <a:solidFill>
                <a:schemeClr val="tx1"/>
              </a:solidFill>
              <a:effectLst/>
              <a:latin typeface="+mn-lt"/>
              <a:ea typeface="+mn-ea"/>
              <a:cs typeface="+mn-cs"/>
            </a:rPr>
            <a:t>6ª análise: </a:t>
          </a:r>
          <a:r>
            <a:rPr lang="pt-BR" sz="1200" b="0">
              <a:solidFill>
                <a:schemeClr val="tx1"/>
              </a:solidFill>
              <a:effectLst/>
              <a:latin typeface="+mn-lt"/>
              <a:ea typeface="+mn-ea"/>
              <a:cs typeface="+mn-cs"/>
            </a:rPr>
            <a:t>A sexta análise</a:t>
          </a:r>
          <a:r>
            <a:rPr lang="pt-BR" sz="1200" b="0" baseline="0">
              <a:solidFill>
                <a:schemeClr val="tx1"/>
              </a:solidFill>
              <a:effectLst/>
              <a:latin typeface="+mn-lt"/>
              <a:ea typeface="+mn-ea"/>
              <a:cs typeface="+mn-cs"/>
            </a:rPr>
            <a:t> consistiu, basicamente, em identificar quais foram as principais características que estiveram presentes durante o período analisado, sem a presença de qualquer tabela dinâmica ou gráfico. Este processo ocorreu por meio do resumo de todas as análises anteriores e como elas se conectavam umas com as outras. No final, foi possível concluir aspectos importantes sobre o comportamento do Tottenham Hotspur.</a:t>
          </a:r>
          <a:endParaRPr lang="pt-BR" sz="1200"/>
        </a:p>
      </xdr:txBody>
    </xdr:sp>
    <xdr:clientData/>
  </xdr:oneCellAnchor>
  <xdr:twoCellAnchor editAs="oneCell">
    <xdr:from>
      <xdr:col>1</xdr:col>
      <xdr:colOff>47625</xdr:colOff>
      <xdr:row>56</xdr:row>
      <xdr:rowOff>57150</xdr:rowOff>
    </xdr:from>
    <xdr:to>
      <xdr:col>16</xdr:col>
      <xdr:colOff>115753</xdr:colOff>
      <xdr:row>58</xdr:row>
      <xdr:rowOff>57203</xdr:rowOff>
    </xdr:to>
    <xdr:pic>
      <xdr:nvPicPr>
        <xdr:cNvPr id="8" name="Imagem 7">
          <a:extLst>
            <a:ext uri="{FF2B5EF4-FFF2-40B4-BE49-F238E27FC236}">
              <a16:creationId xmlns:a16="http://schemas.microsoft.com/office/drawing/2014/main" id="{4C674174-436C-A2C7-9B09-5925F0A74BD4}"/>
            </a:ext>
          </a:extLst>
        </xdr:cNvPr>
        <xdr:cNvPicPr>
          <a:picLocks noChangeAspect="1"/>
        </xdr:cNvPicPr>
      </xdr:nvPicPr>
      <xdr:blipFill>
        <a:blip xmlns:r="http://schemas.openxmlformats.org/officeDocument/2006/relationships" r:embed="rId1"/>
        <a:stretch>
          <a:fillRect/>
        </a:stretch>
      </xdr:blipFill>
      <xdr:spPr>
        <a:xfrm>
          <a:off x="657225" y="10725150"/>
          <a:ext cx="10412278" cy="381053"/>
        </a:xfrm>
        <a:prstGeom prst="rect">
          <a:avLst/>
        </a:prstGeom>
      </xdr:spPr>
    </xdr:pic>
    <xdr:clientData/>
  </xdr:twoCellAnchor>
  <xdr:oneCellAnchor>
    <xdr:from>
      <xdr:col>0</xdr:col>
      <xdr:colOff>177840</xdr:colOff>
      <xdr:row>82</xdr:row>
      <xdr:rowOff>123825</xdr:rowOff>
    </xdr:from>
    <xdr:ext cx="2086598" cy="327141"/>
    <xdr:sp macro="" textlink="">
      <xdr:nvSpPr>
        <xdr:cNvPr id="7" name="CaixaDeTexto 6">
          <a:extLst>
            <a:ext uri="{FF2B5EF4-FFF2-40B4-BE49-F238E27FC236}">
              <a16:creationId xmlns:a16="http://schemas.microsoft.com/office/drawing/2014/main" id="{143FA442-043C-4235-B065-81436679E673}"/>
            </a:ext>
          </a:extLst>
        </xdr:cNvPr>
        <xdr:cNvSpPr txBox="1"/>
      </xdr:nvSpPr>
      <xdr:spPr>
        <a:xfrm>
          <a:off x="177840" y="15744825"/>
          <a:ext cx="2086598"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pt-BR" sz="1500" b="1"/>
            <a:t>3. Auxílio para Gráficos:</a:t>
          </a:r>
        </a:p>
      </xdr:txBody>
    </xdr:sp>
    <xdr:clientData/>
  </xdr:oneCellAnchor>
  <xdr:oneCellAnchor>
    <xdr:from>
      <xdr:col>0</xdr:col>
      <xdr:colOff>190500</xdr:colOff>
      <xdr:row>84</xdr:row>
      <xdr:rowOff>95250</xdr:rowOff>
    </xdr:from>
    <xdr:ext cx="12148329" cy="280205"/>
    <xdr:sp macro="" textlink="">
      <xdr:nvSpPr>
        <xdr:cNvPr id="9" name="CaixaDeTexto 8">
          <a:extLst>
            <a:ext uri="{FF2B5EF4-FFF2-40B4-BE49-F238E27FC236}">
              <a16:creationId xmlns:a16="http://schemas.microsoft.com/office/drawing/2014/main" id="{65745CC7-F6D1-4837-864A-3EBFD68BB3F5}"/>
            </a:ext>
          </a:extLst>
        </xdr:cNvPr>
        <xdr:cNvSpPr txBox="1"/>
      </xdr:nvSpPr>
      <xdr:spPr>
        <a:xfrm>
          <a:off x="190500" y="16097250"/>
          <a:ext cx="121483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pt-BR" sz="1200"/>
            <a:t>Essa</a:t>
          </a:r>
          <a:r>
            <a:rPr lang="pt-BR" sz="1200" baseline="0"/>
            <a:t> seção foi criada com o objetivo de auxiliar a criação dos gráficos presentes na aba anterior através da inserção de tabelas.</a:t>
          </a:r>
          <a:endParaRPr lang="pt-BR" sz="12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ke Mendes" refreshedDate="46196.442077430554" createdVersion="8" refreshedVersion="8" minRefreshableVersion="3" recordCount="22" xr:uid="{11AE0983-117D-40C8-AD52-16F3B61A0005}">
  <cacheSource type="worksheet">
    <worksheetSource ref="A2:J24" sheet="Dados Tratados"/>
  </cacheSource>
  <cacheFields count="10">
    <cacheField name="temporada" numFmtId="0">
      <sharedItems count="6">
        <s v="2019/20"/>
        <s v="2020/21"/>
        <s v="2021/22"/>
        <s v="2022/23"/>
        <s v="2023/24"/>
        <s v="2024/25"/>
      </sharedItems>
    </cacheField>
    <cacheField name="tipo_movimentação" numFmtId="0">
      <sharedItems count="2">
        <s v="Entrada"/>
        <s v="Saída"/>
      </sharedItems>
    </cacheField>
    <cacheField name="nome_jogador" numFmtId="0">
      <sharedItems count="20">
        <s v="Tanguy Ndombélé"/>
        <s v="Steven Bergwijn"/>
        <s v="Christian Eriksen"/>
        <s v="Pierre-Emile Højbjerg"/>
        <s v="Sergio Reguilón"/>
        <s v="Jan Vertonghen"/>
        <s v="Matt Doherty"/>
        <s v="Cristian Romero"/>
        <s v="Dejan Kulusevski"/>
        <s v="Toby Alderweireld"/>
        <s v="Rodrigo Bentancur"/>
        <s v="Richarlison"/>
        <s v="Yves Bissouma"/>
        <s v="Ivan Perišić"/>
        <s v="James Maddison"/>
        <s v="Micky van de Ven"/>
        <s v="Harry Kane"/>
        <s v="Brennan Johnson"/>
        <s v="Dominic Solanke"/>
        <s v="Archie Gray"/>
      </sharedItems>
    </cacheField>
    <cacheField name="posição" numFmtId="0">
      <sharedItems count="3">
        <s v="Meio-campista"/>
        <s v="Atacante"/>
        <s v="Defensor"/>
      </sharedItems>
    </cacheField>
    <cacheField name="nacionalidade" numFmtId="0">
      <sharedItems/>
    </cacheField>
    <cacheField name="clube" numFmtId="0">
      <sharedItems/>
    </cacheField>
    <cacheField name="valor_transferência" numFmtId="164">
      <sharedItems containsSemiMixedTypes="0" containsString="0" containsNumber="1" containsInteger="1" minValue="0" maxValue="95000000"/>
    </cacheField>
    <cacheField name="idade" numFmtId="1">
      <sharedItems containsSemiMixedTypes="0" containsString="0" containsNumber="1" containsInteger="1" minValue="18" maxValue="33" count="13">
        <n v="22"/>
        <n v="27"/>
        <n v="25"/>
        <n v="23"/>
        <n v="33"/>
        <n v="28"/>
        <n v="21"/>
        <n v="32"/>
        <n v="24"/>
        <n v="26"/>
        <n v="30"/>
        <n v="18"/>
        <n v="29"/>
      </sharedItems>
      <fieldGroup base="7">
        <rangePr autoStart="0" autoEnd="0" startNum="1" endNum="33" groupInterval="5"/>
        <groupItems count="9">
          <s v="&lt;1"/>
          <s v="1-5"/>
          <s v="6-10"/>
          <s v="11-15"/>
          <s v="16-20"/>
          <s v="21-25"/>
          <s v="26-30"/>
          <s v="31-35"/>
          <s v="&gt;36"/>
        </groupItems>
      </fieldGroup>
    </cacheField>
    <cacheField name="faixa_etária" numFmtId="1">
      <sharedItems count="8">
        <s v="Jovem (21-25 anos)"/>
        <s v="Experiente (26-30 anos)"/>
        <s v="Veterano (31+ anos)"/>
        <s v="Muito Jovem (16-20 anos)"/>
        <s v="Jovem" u="1"/>
        <s v="Experiente" u="1"/>
        <s v="Veterano" u="1"/>
        <s v="Muito Jovem" u="1"/>
      </sharedItems>
    </cacheField>
    <cacheField name="tipo_negociação"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ike Mendes" refreshedDate="46198.806584606478" createdVersion="8" refreshedVersion="8" minRefreshableVersion="3" recordCount="22" xr:uid="{DDD0AD49-FD94-41C1-9F64-39D91F4A0370}">
  <cacheSource type="worksheet">
    <worksheetSource ref="B2:J24" sheet="Dados Tratados"/>
  </cacheSource>
  <cacheFields count="9">
    <cacheField name="tipo_movimentação" numFmtId="0">
      <sharedItems count="2">
        <s v="Entrada"/>
        <s v="Saída"/>
      </sharedItems>
    </cacheField>
    <cacheField name="nome_jogador" numFmtId="0">
      <sharedItems/>
    </cacheField>
    <cacheField name="posição" numFmtId="0">
      <sharedItems/>
    </cacheField>
    <cacheField name="nacionalidade" numFmtId="0">
      <sharedItems count="14">
        <s v="França"/>
        <s v="Holanda"/>
        <s v="Dinamarca"/>
        <s v="Espanha"/>
        <s v="Bélgica"/>
        <s v="Irlanda"/>
        <s v="Argentina"/>
        <s v="Suécia"/>
        <s v="Uruguai"/>
        <s v="Brasil"/>
        <s v="Mali"/>
        <s v="Croácia"/>
        <s v="Inglaterra"/>
        <s v="País De Gales"/>
      </sharedItems>
    </cacheField>
    <cacheField name="clube" numFmtId="0">
      <sharedItems count="20">
        <s v="Lyon"/>
        <s v="PSV Eindhoven"/>
        <s v="Inter Milan"/>
        <s v="Southampton"/>
        <s v="Real Madrid"/>
        <s v="Benfica"/>
        <s v="Wolves"/>
        <s v="Atalanta"/>
        <s v="Juventus"/>
        <s v="Al Duhail"/>
        <s v="Everton"/>
        <s v="Brighton"/>
        <s v="Ajax"/>
        <s v="Leicester City"/>
        <s v="Wolfsburg"/>
        <s v="Bayern München"/>
        <s v="Nottingham Forest"/>
        <s v="Bournemouth"/>
        <s v="Leeds United"/>
        <s v="Olympique Marseille"/>
      </sharedItems>
    </cacheField>
    <cacheField name="valor_transferência" numFmtId="164">
      <sharedItems containsSemiMixedTypes="0" containsString="0" containsNumber="1" containsInteger="1" minValue="0" maxValue="95000000"/>
    </cacheField>
    <cacheField name="idade" numFmtId="1">
      <sharedItems containsSemiMixedTypes="0" containsString="0" containsNumber="1" containsInteger="1" minValue="18" maxValue="33"/>
    </cacheField>
    <cacheField name="faixa_etária" numFmtId="1">
      <sharedItems/>
    </cacheField>
    <cacheField name="tipo_negociaçã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x v="0"/>
    <s v="França"/>
    <s v="Lyon"/>
    <n v="62000000"/>
    <x v="0"/>
    <x v="0"/>
    <s v="Compra"/>
  </r>
  <r>
    <x v="0"/>
    <x v="0"/>
    <x v="1"/>
    <x v="1"/>
    <s v="Holanda"/>
    <s v="PSV Eindhoven"/>
    <n v="30000000"/>
    <x v="0"/>
    <x v="0"/>
    <s v="Compra"/>
  </r>
  <r>
    <x v="0"/>
    <x v="1"/>
    <x v="2"/>
    <x v="0"/>
    <s v="Dinamarca"/>
    <s v="Inter Milan"/>
    <n v="27000000"/>
    <x v="1"/>
    <x v="1"/>
    <s v="Venda"/>
  </r>
  <r>
    <x v="1"/>
    <x v="0"/>
    <x v="3"/>
    <x v="0"/>
    <s v="Dinamarca"/>
    <s v="Southampton"/>
    <n v="16600000"/>
    <x v="2"/>
    <x v="0"/>
    <s v="Compra"/>
  </r>
  <r>
    <x v="1"/>
    <x v="0"/>
    <x v="4"/>
    <x v="2"/>
    <s v="Espanha"/>
    <s v="Real Madrid"/>
    <n v="30000000"/>
    <x v="3"/>
    <x v="0"/>
    <s v="Compra"/>
  </r>
  <r>
    <x v="1"/>
    <x v="1"/>
    <x v="5"/>
    <x v="2"/>
    <s v="Bélgica"/>
    <s v="Benfica"/>
    <n v="0"/>
    <x v="4"/>
    <x v="2"/>
    <s v="Livre"/>
  </r>
  <r>
    <x v="1"/>
    <x v="0"/>
    <x v="6"/>
    <x v="2"/>
    <s v="Irlanda"/>
    <s v="Wolves"/>
    <n v="16800000"/>
    <x v="5"/>
    <x v="1"/>
    <s v="Compra"/>
  </r>
  <r>
    <x v="2"/>
    <x v="0"/>
    <x v="7"/>
    <x v="2"/>
    <s v="Argentina"/>
    <s v="Atalanta"/>
    <n v="52000000"/>
    <x v="3"/>
    <x v="0"/>
    <s v="Compra"/>
  </r>
  <r>
    <x v="2"/>
    <x v="0"/>
    <x v="8"/>
    <x v="1"/>
    <s v="Suécia"/>
    <s v="Juventus"/>
    <n v="0"/>
    <x v="6"/>
    <x v="0"/>
    <s v="Empréstimo"/>
  </r>
  <r>
    <x v="2"/>
    <x v="1"/>
    <x v="9"/>
    <x v="2"/>
    <s v="Bélgica"/>
    <s v="Al Duhail"/>
    <n v="13000000"/>
    <x v="7"/>
    <x v="2"/>
    <s v="Venda"/>
  </r>
  <r>
    <x v="2"/>
    <x v="0"/>
    <x v="10"/>
    <x v="0"/>
    <s v="Uruguai"/>
    <s v="Juventus"/>
    <n v="19000000"/>
    <x v="8"/>
    <x v="0"/>
    <s v="Compra"/>
  </r>
  <r>
    <x v="3"/>
    <x v="0"/>
    <x v="11"/>
    <x v="1"/>
    <s v="Brasil"/>
    <s v="Everton"/>
    <n v="58000000"/>
    <x v="2"/>
    <x v="0"/>
    <s v="Compra"/>
  </r>
  <r>
    <x v="3"/>
    <x v="0"/>
    <x v="12"/>
    <x v="0"/>
    <s v="Mali"/>
    <s v="Brighton"/>
    <n v="29000000"/>
    <x v="2"/>
    <x v="0"/>
    <s v="Compra"/>
  </r>
  <r>
    <x v="3"/>
    <x v="1"/>
    <x v="1"/>
    <x v="1"/>
    <s v="Holanda"/>
    <s v="Ajax"/>
    <n v="31300000"/>
    <x v="8"/>
    <x v="0"/>
    <s v="Venda"/>
  </r>
  <r>
    <x v="3"/>
    <x v="0"/>
    <x v="13"/>
    <x v="1"/>
    <s v="Croácia"/>
    <s v="Inter Milan"/>
    <n v="0"/>
    <x v="4"/>
    <x v="2"/>
    <s v="Livre"/>
  </r>
  <r>
    <x v="4"/>
    <x v="0"/>
    <x v="14"/>
    <x v="0"/>
    <s v="Inglaterra"/>
    <s v="Leicester City"/>
    <n v="46300000"/>
    <x v="9"/>
    <x v="1"/>
    <s v="Compra"/>
  </r>
  <r>
    <x v="4"/>
    <x v="0"/>
    <x v="15"/>
    <x v="2"/>
    <s v="Holanda"/>
    <s v="Wolfsburg"/>
    <n v="40000000"/>
    <x v="0"/>
    <x v="0"/>
    <s v="Compra"/>
  </r>
  <r>
    <x v="4"/>
    <x v="1"/>
    <x v="16"/>
    <x v="1"/>
    <s v="Inglaterra"/>
    <s v="Bayern München"/>
    <n v="95000000"/>
    <x v="10"/>
    <x v="1"/>
    <s v="Venda"/>
  </r>
  <r>
    <x v="4"/>
    <x v="0"/>
    <x v="17"/>
    <x v="1"/>
    <s v="País De Gales"/>
    <s v="Nottingham Forest"/>
    <n v="47500000"/>
    <x v="0"/>
    <x v="0"/>
    <s v="Compra"/>
  </r>
  <r>
    <x v="5"/>
    <x v="0"/>
    <x v="18"/>
    <x v="1"/>
    <s v="Inglaterra"/>
    <s v="Bournemouth"/>
    <n v="65000000"/>
    <x v="9"/>
    <x v="1"/>
    <s v="Compra"/>
  </r>
  <r>
    <x v="5"/>
    <x v="0"/>
    <x v="19"/>
    <x v="0"/>
    <s v="Inglaterra"/>
    <s v="Leeds United"/>
    <n v="41000000"/>
    <x v="11"/>
    <x v="3"/>
    <s v="Compra"/>
  </r>
  <r>
    <x v="5"/>
    <x v="1"/>
    <x v="3"/>
    <x v="0"/>
    <s v="Dinamarca"/>
    <s v="Olympique Marseille"/>
    <n v="13500000"/>
    <x v="12"/>
    <x v="1"/>
    <s v="Ven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s v="Tanguy Ndombélé"/>
    <s v="Meio-campista"/>
    <x v="0"/>
    <x v="0"/>
    <n v="62000000"/>
    <n v="22"/>
    <s v="Jovem (21-25 anos)"/>
    <s v="Compra"/>
  </r>
  <r>
    <x v="0"/>
    <s v="Steven Bergwijn"/>
    <s v="Atacante"/>
    <x v="1"/>
    <x v="1"/>
    <n v="30000000"/>
    <n v="22"/>
    <s v="Jovem (21-25 anos)"/>
    <s v="Compra"/>
  </r>
  <r>
    <x v="1"/>
    <s v="Christian Eriksen"/>
    <s v="Meio-campista"/>
    <x v="2"/>
    <x v="2"/>
    <n v="27000000"/>
    <n v="27"/>
    <s v="Experiente (26-30 anos)"/>
    <s v="Venda"/>
  </r>
  <r>
    <x v="0"/>
    <s v="Pierre-Emile Højbjerg"/>
    <s v="Meio-campista"/>
    <x v="2"/>
    <x v="3"/>
    <n v="16600000"/>
    <n v="25"/>
    <s v="Jovem (21-25 anos)"/>
    <s v="Compra"/>
  </r>
  <r>
    <x v="0"/>
    <s v="Sergio Reguilón"/>
    <s v="Defensor"/>
    <x v="3"/>
    <x v="4"/>
    <n v="30000000"/>
    <n v="23"/>
    <s v="Jovem (21-25 anos)"/>
    <s v="Compra"/>
  </r>
  <r>
    <x v="1"/>
    <s v="Jan Vertonghen"/>
    <s v="Defensor"/>
    <x v="4"/>
    <x v="5"/>
    <n v="0"/>
    <n v="33"/>
    <s v="Veterano (31+ anos)"/>
    <s v="Livre"/>
  </r>
  <r>
    <x v="0"/>
    <s v="Matt Doherty"/>
    <s v="Defensor"/>
    <x v="5"/>
    <x v="6"/>
    <n v="16800000"/>
    <n v="28"/>
    <s v="Experiente (26-30 anos)"/>
    <s v="Compra"/>
  </r>
  <r>
    <x v="0"/>
    <s v="Cristian Romero"/>
    <s v="Defensor"/>
    <x v="6"/>
    <x v="7"/>
    <n v="52000000"/>
    <n v="23"/>
    <s v="Jovem (21-25 anos)"/>
    <s v="Compra"/>
  </r>
  <r>
    <x v="0"/>
    <s v="Dejan Kulusevski"/>
    <s v="Atacante"/>
    <x v="7"/>
    <x v="8"/>
    <n v="0"/>
    <n v="21"/>
    <s v="Jovem (21-25 anos)"/>
    <s v="Empréstimo"/>
  </r>
  <r>
    <x v="1"/>
    <s v="Toby Alderweireld"/>
    <s v="Defensor"/>
    <x v="4"/>
    <x v="9"/>
    <n v="13000000"/>
    <n v="32"/>
    <s v="Veterano (31+ anos)"/>
    <s v="Venda"/>
  </r>
  <r>
    <x v="0"/>
    <s v="Rodrigo Bentancur"/>
    <s v="Meio-campista"/>
    <x v="8"/>
    <x v="8"/>
    <n v="19000000"/>
    <n v="24"/>
    <s v="Jovem (21-25 anos)"/>
    <s v="Compra"/>
  </r>
  <r>
    <x v="0"/>
    <s v="Richarlison"/>
    <s v="Atacante"/>
    <x v="9"/>
    <x v="10"/>
    <n v="58000000"/>
    <n v="25"/>
    <s v="Jovem (21-25 anos)"/>
    <s v="Compra"/>
  </r>
  <r>
    <x v="0"/>
    <s v="Yves Bissouma"/>
    <s v="Meio-campista"/>
    <x v="10"/>
    <x v="11"/>
    <n v="29000000"/>
    <n v="25"/>
    <s v="Jovem (21-25 anos)"/>
    <s v="Compra"/>
  </r>
  <r>
    <x v="1"/>
    <s v="Steven Bergwijn"/>
    <s v="Atacante"/>
    <x v="1"/>
    <x v="12"/>
    <n v="31300000"/>
    <n v="24"/>
    <s v="Jovem (21-25 anos)"/>
    <s v="Venda"/>
  </r>
  <r>
    <x v="0"/>
    <s v="Ivan Perišić"/>
    <s v="Atacante"/>
    <x v="11"/>
    <x v="2"/>
    <n v="0"/>
    <n v="33"/>
    <s v="Veterano (31+ anos)"/>
    <s v="Livre"/>
  </r>
  <r>
    <x v="0"/>
    <s v="James Maddison"/>
    <s v="Meio-campista"/>
    <x v="12"/>
    <x v="13"/>
    <n v="46300000"/>
    <n v="26"/>
    <s v="Experiente (26-30 anos)"/>
    <s v="Compra"/>
  </r>
  <r>
    <x v="0"/>
    <s v="Micky van de Ven"/>
    <s v="Defensor"/>
    <x v="1"/>
    <x v="14"/>
    <n v="40000000"/>
    <n v="22"/>
    <s v="Jovem (21-25 anos)"/>
    <s v="Compra"/>
  </r>
  <r>
    <x v="1"/>
    <s v="Harry Kane"/>
    <s v="Atacante"/>
    <x v="12"/>
    <x v="15"/>
    <n v="95000000"/>
    <n v="30"/>
    <s v="Experiente (26-30 anos)"/>
    <s v="Venda"/>
  </r>
  <r>
    <x v="0"/>
    <s v="Brennan Johnson"/>
    <s v="Atacante"/>
    <x v="13"/>
    <x v="16"/>
    <n v="47500000"/>
    <n v="22"/>
    <s v="Jovem (21-25 anos)"/>
    <s v="Compra"/>
  </r>
  <r>
    <x v="0"/>
    <s v="Dominic Solanke"/>
    <s v="Atacante"/>
    <x v="12"/>
    <x v="17"/>
    <n v="65000000"/>
    <n v="26"/>
    <s v="Experiente (26-30 anos)"/>
    <s v="Compra"/>
  </r>
  <r>
    <x v="0"/>
    <s v="Archie Gray"/>
    <s v="Meio-campista"/>
    <x v="12"/>
    <x v="18"/>
    <n v="41000000"/>
    <n v="18"/>
    <s v="Muito Jovem (16-20 anos)"/>
    <s v="Compra"/>
  </r>
  <r>
    <x v="1"/>
    <s v="Pierre-Emile Højbjerg"/>
    <s v="Meio-campista"/>
    <x v="2"/>
    <x v="19"/>
    <n v="13500000"/>
    <n v="29"/>
    <s v="Experiente (26-30 anos)"/>
    <s v="Ven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F863BA-AE4A-4439-B2F0-5F549C05D0FD}"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rowHeaderCaption="Temporadas" colHeaderCaption="">
  <location ref="A14:D22" firstHeaderRow="1" firstDataRow="2" firstDataCol="1"/>
  <pivotFields count="10">
    <pivotField axis="axisRow" showAll="0">
      <items count="7">
        <item x="0"/>
        <item x="1"/>
        <item x="2"/>
        <item x="3"/>
        <item x="4"/>
        <item x="5"/>
        <item t="default"/>
      </items>
    </pivotField>
    <pivotField axis="axisCol" showAll="0">
      <items count="3">
        <item x="0"/>
        <item x="1"/>
        <item t="default"/>
      </items>
    </pivotField>
    <pivotField showAll="0"/>
    <pivotField showAll="0"/>
    <pivotField showAll="0"/>
    <pivotField showAll="0"/>
    <pivotField dataField="1" numFmtId="164" showAll="0"/>
    <pivotField numFmtId="1" showAll="0"/>
    <pivotField showAll="0"/>
    <pivotField showAll="0"/>
  </pivotFields>
  <rowFields count="1">
    <field x="0"/>
  </rowFields>
  <rowItems count="7">
    <i>
      <x/>
    </i>
    <i>
      <x v="1"/>
    </i>
    <i>
      <x v="2"/>
    </i>
    <i>
      <x v="3"/>
    </i>
    <i>
      <x v="4"/>
    </i>
    <i>
      <x v="5"/>
    </i>
    <i t="grand">
      <x/>
    </i>
  </rowItems>
  <colFields count="1">
    <field x="1"/>
  </colFields>
  <colItems count="3">
    <i>
      <x/>
    </i>
    <i>
      <x v="1"/>
    </i>
    <i t="grand">
      <x/>
    </i>
  </colItems>
  <dataFields count="1">
    <dataField name="Somas de Entradas e Saídas" fld="6" baseField="0" baseItem="0" numFmtId="164"/>
  </dataFields>
  <formats count="6">
    <format dxfId="5">
      <pivotArea collapsedLevelsAreSubtotals="1" fieldPosition="0">
        <references count="1">
          <reference field="0" count="0"/>
        </references>
      </pivotArea>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fieldPosition="0">
        <references count="1">
          <reference field="1" count="0"/>
        </references>
      </pivotArea>
    </format>
    <format dxfId="1">
      <pivotArea dataOnly="0" labelOnly="1" grandCol="1" outline="0" fieldPosition="0"/>
    </format>
    <format dxfId="0">
      <pivotArea grandRow="1" outline="0" collapsedLevelsAreSubtotals="1" fieldPosition="0"/>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027D2-D537-4505-8DBC-54A417F72129}" name="Tabela dinâmica8" cacheId="0" dataPosition="0"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chartFormat="10" rowHeaderCaption="Posições e Jogadores" colHeaderCaption="Tipo de Movimentação">
  <location ref="BA14:BC26" firstHeaderRow="1" firstDataRow="3" firstDataCol="1"/>
  <pivotFields count="10">
    <pivotField showAll="0"/>
    <pivotField axis="axisCol" showAll="0">
      <items count="3">
        <item h="1" x="0"/>
        <item x="1"/>
        <item t="default"/>
      </items>
    </pivotField>
    <pivotField axis="axisRow" showAll="0" sortType="descending">
      <items count="21">
        <item x="19"/>
        <item x="17"/>
        <item x="2"/>
        <item x="7"/>
        <item x="8"/>
        <item x="18"/>
        <item x="16"/>
        <item x="13"/>
        <item x="14"/>
        <item x="5"/>
        <item x="6"/>
        <item x="15"/>
        <item x="3"/>
        <item x="11"/>
        <item x="10"/>
        <item x="4"/>
        <item x="1"/>
        <item x="0"/>
        <item x="9"/>
        <item x="12"/>
        <item t="default"/>
      </items>
      <autoSortScope>
        <pivotArea dataOnly="0" outline="0" fieldPosition="0">
          <references count="2">
            <reference field="4294967294" count="1" selected="0">
              <x v="0"/>
            </reference>
            <reference field="1" count="1" selected="0">
              <x v="1"/>
            </reference>
          </references>
        </pivotArea>
      </autoSortScope>
    </pivotField>
    <pivotField axis="axisRow" showAll="0" sortType="descending">
      <items count="4">
        <item x="1"/>
        <item x="2"/>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dataField="1" numFmtId="164" showAll="0"/>
    <pivotField numFmtId="1" showAll="0"/>
    <pivotField showAll="0"/>
    <pivotField showAll="0"/>
  </pivotFields>
  <rowFields count="2">
    <field x="3"/>
    <field x="2"/>
  </rowFields>
  <rowItems count="10">
    <i>
      <x/>
    </i>
    <i r="1">
      <x v="6"/>
    </i>
    <i r="1">
      <x v="16"/>
    </i>
    <i>
      <x v="2"/>
    </i>
    <i r="1">
      <x v="2"/>
    </i>
    <i r="1">
      <x v="12"/>
    </i>
    <i>
      <x v="1"/>
    </i>
    <i r="1">
      <x v="18"/>
    </i>
    <i r="1">
      <x v="9"/>
    </i>
    <i t="grand">
      <x/>
    </i>
  </rowItems>
  <colFields count="2">
    <field x="1"/>
    <field x="-2"/>
  </colFields>
  <colItems count="2">
    <i>
      <x v="1"/>
      <x/>
    </i>
    <i r="1" i="1">
      <x v="1"/>
    </i>
  </colItems>
  <dataFields count="2">
    <dataField name="Soma do Valores" fld="6" baseField="3" baseItem="0" numFmtId="164"/>
    <dataField name="Porcentagem (%) do Total" fld="6" showDataAs="percentOfTotal" baseField="0" baseItem="0" numFmtId="10"/>
  </dataFields>
  <formats count="18">
    <format dxfId="23">
      <pivotArea collapsedLevelsAreSubtotals="1" fieldPosition="0">
        <references count="1">
          <reference field="3" count="1">
            <x v="0"/>
          </reference>
        </references>
      </pivotArea>
    </format>
    <format dxfId="22">
      <pivotArea collapsedLevelsAreSubtotals="1" fieldPosition="0">
        <references count="2">
          <reference field="2" count="2">
            <x v="6"/>
            <x v="16"/>
          </reference>
          <reference field="3" count="1" selected="0">
            <x v="0"/>
          </reference>
        </references>
      </pivotArea>
    </format>
    <format dxfId="21">
      <pivotArea collapsedLevelsAreSubtotals="1" fieldPosition="0">
        <references count="1">
          <reference field="3" count="1">
            <x v="1"/>
          </reference>
        </references>
      </pivotArea>
    </format>
    <format dxfId="20">
      <pivotArea collapsedLevelsAreSubtotals="1" fieldPosition="0">
        <references count="2">
          <reference field="2" count="2">
            <x v="9"/>
            <x v="18"/>
          </reference>
          <reference field="3" count="1" selected="0">
            <x v="1"/>
          </reference>
        </references>
      </pivotArea>
    </format>
    <format dxfId="19">
      <pivotArea collapsedLevelsAreSubtotals="1" fieldPosition="0">
        <references count="1">
          <reference field="3" count="1">
            <x v="2"/>
          </reference>
        </references>
      </pivotArea>
    </format>
    <format dxfId="18">
      <pivotArea collapsedLevelsAreSubtotals="1" fieldPosition="0">
        <references count="2">
          <reference field="2" count="2">
            <x v="2"/>
            <x v="12"/>
          </reference>
          <reference field="3" count="1" selected="0">
            <x v="2"/>
          </reference>
        </references>
      </pivotArea>
    </format>
    <format dxfId="17">
      <pivotArea type="origin" dataOnly="0" labelOnly="1" outline="0" fieldPosition="0"/>
    </format>
    <format dxfId="16">
      <pivotArea field="1" type="button" dataOnly="0" labelOnly="1" outline="0" axis="axisCol" fieldPosition="0"/>
    </format>
    <format dxfId="15">
      <pivotArea field="-2" type="button" dataOnly="0" labelOnly="1" outline="0" axis="axisCol" fieldPosition="1"/>
    </format>
    <format dxfId="14">
      <pivotArea field="3" type="button" dataOnly="0" labelOnly="1" outline="0" axis="axisRow" fieldPosition="0"/>
    </format>
    <format dxfId="13">
      <pivotArea dataOnly="0" labelOnly="1" fieldPosition="0">
        <references count="1">
          <reference field="3" count="0"/>
        </references>
      </pivotArea>
    </format>
    <format dxfId="12">
      <pivotArea dataOnly="0" labelOnly="1" fieldPosition="0">
        <references count="2">
          <reference field="2" count="2">
            <x v="6"/>
            <x v="16"/>
          </reference>
          <reference field="3" count="1" selected="0">
            <x v="0"/>
          </reference>
        </references>
      </pivotArea>
    </format>
    <format dxfId="11">
      <pivotArea dataOnly="0" labelOnly="1" fieldPosition="0">
        <references count="2">
          <reference field="2" count="2">
            <x v="9"/>
            <x v="18"/>
          </reference>
          <reference field="3" count="1" selected="0">
            <x v="1"/>
          </reference>
        </references>
      </pivotArea>
    </format>
    <format dxfId="10">
      <pivotArea dataOnly="0" labelOnly="1" fieldPosition="0">
        <references count="2">
          <reference field="2" count="2">
            <x v="2"/>
            <x v="12"/>
          </reference>
          <reference field="3" count="1" selected="0">
            <x v="2"/>
          </reference>
        </references>
      </pivotArea>
    </format>
    <format dxfId="9">
      <pivotArea dataOnly="0" labelOnly="1" fieldPosition="0">
        <references count="1">
          <reference field="1" count="0"/>
        </references>
      </pivotArea>
    </format>
    <format dxfId="8">
      <pivotArea dataOnly="0" labelOnly="1" outline="0" fieldPosition="0">
        <references count="2">
          <reference field="4294967294" count="2">
            <x v="0"/>
            <x v="1"/>
          </reference>
          <reference field="1" count="0" selected="0"/>
        </references>
      </pivotArea>
    </format>
    <format dxfId="7">
      <pivotArea grandRow="1" outline="0" collapsedLevelsAreSubtotals="1" fieldPosition="0"/>
    </format>
    <format dxfId="6">
      <pivotArea outline="0" collapsedLevelsAreSubtotals="1" fieldPosition="0">
        <references count="2">
          <reference field="4294967294" count="1" selected="0">
            <x v="1"/>
          </reference>
          <reference field="1" count="0" selected="0"/>
        </references>
      </pivotArea>
    </format>
  </formats>
  <chartFormats count="22">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1"/>
          </reference>
          <reference field="1" count="1" selected="0">
            <x v="1"/>
          </reference>
        </references>
      </pivotArea>
    </chartFormat>
    <chartFormat chart="0" format="2" series="1">
      <pivotArea type="data" outline="0" fieldPosition="0">
        <references count="3">
          <reference field="4294967294" count="1" selected="0">
            <x v="0"/>
          </reference>
          <reference field="2" count="1" selected="0">
            <x v="9"/>
          </reference>
          <reference field="3" count="1" selected="0">
            <x v="1"/>
          </reference>
        </references>
      </pivotArea>
    </chartFormat>
    <chartFormat chart="0" format="3" series="1">
      <pivotArea type="data" outline="0" fieldPosition="0">
        <references count="3">
          <reference field="4294967294" count="1" selected="0">
            <x v="0"/>
          </reference>
          <reference field="2" count="1" selected="0">
            <x v="18"/>
          </reference>
          <reference field="3" count="1" selected="0">
            <x v="1"/>
          </reference>
        </references>
      </pivotArea>
    </chartFormat>
    <chartFormat chart="0" format="4" series="1">
      <pivotArea type="data" outline="0" fieldPosition="0">
        <references count="3">
          <reference field="4294967294" count="1" selected="0">
            <x v="0"/>
          </reference>
          <reference field="2" count="1" selected="0">
            <x v="2"/>
          </reference>
          <reference field="3" count="1" selected="0">
            <x v="2"/>
          </reference>
        </references>
      </pivotArea>
    </chartFormat>
    <chartFormat chart="0" format="5" series="1">
      <pivotArea type="data" outline="0" fieldPosition="0">
        <references count="3">
          <reference field="4294967294" count="1" selected="0">
            <x v="0"/>
          </reference>
          <reference field="2" count="1" selected="0">
            <x v="12"/>
          </reference>
          <reference field="3" count="1" selected="0">
            <x v="2"/>
          </reference>
        </references>
      </pivotArea>
    </chartFormat>
    <chartFormat chart="0" format="6" series="1">
      <pivotArea type="data" outline="0" fieldPosition="0">
        <references count="3">
          <reference field="4294967294" count="1" selected="0">
            <x v="0"/>
          </reference>
          <reference field="2" count="1" selected="0">
            <x v="6"/>
          </reference>
          <reference field="3" count="1" selected="0">
            <x v="0"/>
          </reference>
        </references>
      </pivotArea>
    </chartFormat>
    <chartFormat chart="0" format="7" series="1">
      <pivotArea type="data" outline="0" fieldPosition="0">
        <references count="3">
          <reference field="4294967294" count="1" selected="0">
            <x v="0"/>
          </reference>
          <reference field="2" count="1" selected="0">
            <x v="16"/>
          </reference>
          <reference field="3" count="1" selected="0">
            <x v="0"/>
          </reference>
        </references>
      </pivotArea>
    </chartFormat>
    <chartFormat chart="0" format="8">
      <pivotArea type="data" outline="0" fieldPosition="0">
        <references count="4">
          <reference field="4294967294" count="1" selected="0">
            <x v="0"/>
          </reference>
          <reference field="1" count="1" selected="0">
            <x v="1"/>
          </reference>
          <reference field="2" count="1" selected="0">
            <x v="6"/>
          </reference>
          <reference field="3" count="1" selected="0">
            <x v="0"/>
          </reference>
        </references>
      </pivotArea>
    </chartFormat>
    <chartFormat chart="0" format="9">
      <pivotArea type="data" outline="0" fieldPosition="0">
        <references count="4">
          <reference field="4294967294" count="1" selected="0">
            <x v="0"/>
          </reference>
          <reference field="1" count="1" selected="0">
            <x v="1"/>
          </reference>
          <reference field="2" count="1" selected="0">
            <x v="16"/>
          </reference>
          <reference field="3" count="1" selected="0">
            <x v="0"/>
          </reference>
        </references>
      </pivotArea>
    </chartFormat>
    <chartFormat chart="0" format="10">
      <pivotArea type="data" outline="0" fieldPosition="0">
        <references count="4">
          <reference field="4294967294" count="1" selected="0">
            <x v="0"/>
          </reference>
          <reference field="1" count="1" selected="0">
            <x v="1"/>
          </reference>
          <reference field="2" count="1" selected="0">
            <x v="9"/>
          </reference>
          <reference field="3" count="1" selected="0">
            <x v="1"/>
          </reference>
        </references>
      </pivotArea>
    </chartFormat>
    <chartFormat chart="0" format="11">
      <pivotArea type="data" outline="0" fieldPosition="0">
        <references count="4">
          <reference field="4294967294" count="1" selected="0">
            <x v="0"/>
          </reference>
          <reference field="1" count="1" selected="0">
            <x v="1"/>
          </reference>
          <reference field="2" count="1" selected="0">
            <x v="18"/>
          </reference>
          <reference field="3" count="1" selected="0">
            <x v="1"/>
          </reference>
        </references>
      </pivotArea>
    </chartFormat>
    <chartFormat chart="0" format="12">
      <pivotArea type="data" outline="0" fieldPosition="0">
        <references count="4">
          <reference field="4294967294" count="1" selected="0">
            <x v="0"/>
          </reference>
          <reference field="1" count="1" selected="0">
            <x v="1"/>
          </reference>
          <reference field="2" count="1" selected="0">
            <x v="2"/>
          </reference>
          <reference field="3" count="1" selected="0">
            <x v="2"/>
          </reference>
        </references>
      </pivotArea>
    </chartFormat>
    <chartFormat chart="0" format="13">
      <pivotArea type="data" outline="0" fieldPosition="0">
        <references count="4">
          <reference field="4294967294" count="1" selected="0">
            <x v="0"/>
          </reference>
          <reference field="1" count="1" selected="0">
            <x v="1"/>
          </reference>
          <reference field="2" count="1" selected="0">
            <x v="12"/>
          </reference>
          <reference field="3" count="1" selected="0">
            <x v="2"/>
          </reference>
        </references>
      </pivotArea>
    </chartFormat>
    <chartFormat chart="0" format="14">
      <pivotArea type="data" outline="0" fieldPosition="0">
        <references count="4">
          <reference field="4294967294" count="1" selected="0">
            <x v="1"/>
          </reference>
          <reference field="1" count="1" selected="0">
            <x v="1"/>
          </reference>
          <reference field="2" count="1" selected="0">
            <x v="6"/>
          </reference>
          <reference field="3" count="1" selected="0">
            <x v="0"/>
          </reference>
        </references>
      </pivotArea>
    </chartFormat>
    <chartFormat chart="0" format="15">
      <pivotArea type="data" outline="0" fieldPosition="0">
        <references count="4">
          <reference field="4294967294" count="1" selected="0">
            <x v="1"/>
          </reference>
          <reference field="1" count="1" selected="0">
            <x v="1"/>
          </reference>
          <reference field="2" count="1" selected="0">
            <x v="16"/>
          </reference>
          <reference field="3" count="1" selected="0">
            <x v="0"/>
          </reference>
        </references>
      </pivotArea>
    </chartFormat>
    <chartFormat chart="0" format="16">
      <pivotArea type="data" outline="0" fieldPosition="0">
        <references count="4">
          <reference field="4294967294" count="1" selected="0">
            <x v="1"/>
          </reference>
          <reference field="1" count="1" selected="0">
            <x v="1"/>
          </reference>
          <reference field="2" count="1" selected="0">
            <x v="9"/>
          </reference>
          <reference field="3" count="1" selected="0">
            <x v="1"/>
          </reference>
        </references>
      </pivotArea>
    </chartFormat>
    <chartFormat chart="0" format="17">
      <pivotArea type="data" outline="0" fieldPosition="0">
        <references count="4">
          <reference field="4294967294" count="1" selected="0">
            <x v="1"/>
          </reference>
          <reference field="1" count="1" selected="0">
            <x v="1"/>
          </reference>
          <reference field="2" count="1" selected="0">
            <x v="18"/>
          </reference>
          <reference field="3" count="1" selected="0">
            <x v="1"/>
          </reference>
        </references>
      </pivotArea>
    </chartFormat>
    <chartFormat chart="0" format="18">
      <pivotArea type="data" outline="0" fieldPosition="0">
        <references count="4">
          <reference field="4294967294" count="1" selected="0">
            <x v="1"/>
          </reference>
          <reference field="1" count="1" selected="0">
            <x v="1"/>
          </reference>
          <reference field="2" count="1" selected="0">
            <x v="2"/>
          </reference>
          <reference field="3" count="1" selected="0">
            <x v="2"/>
          </reference>
        </references>
      </pivotArea>
    </chartFormat>
    <chartFormat chart="0" format="19">
      <pivotArea type="data" outline="0" fieldPosition="0">
        <references count="4">
          <reference field="4294967294" count="1" selected="0">
            <x v="1"/>
          </reference>
          <reference field="1" count="1" selected="0">
            <x v="1"/>
          </reference>
          <reference field="2" count="1" selected="0">
            <x v="12"/>
          </reference>
          <reference field="3" count="1" selected="0">
            <x v="2"/>
          </reference>
        </references>
      </pivotArea>
    </chartFormat>
    <chartFormat chart="2" format="0" series="1">
      <pivotArea type="data" outline="0" fieldPosition="0">
        <references count="2">
          <reference field="4294967294" count="1" selected="0">
            <x v="0"/>
          </reference>
          <reference field="1" count="1" selected="0">
            <x v="1"/>
          </reference>
        </references>
      </pivotArea>
    </chartFormat>
    <chartFormat chart="2" format="1" series="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86887-B509-4E7E-B605-6A13972A6E0B}" name="Tabela dinâmica5" cacheId="1"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chartFormat="2" rowHeaderCaption="Origem das Contratações" colHeaderCaption="Contagem de Jogadores">
  <location ref="AN14:AO47" firstHeaderRow="1" firstDataRow="2" firstDataCol="1"/>
  <pivotFields count="9">
    <pivotField axis="axisCol" showAll="0">
      <items count="3">
        <item x="0"/>
        <item h="1" x="1"/>
        <item t="default"/>
      </items>
    </pivotField>
    <pivotField showAll="0"/>
    <pivotField showAll="0"/>
    <pivotField axis="axisRow" dataField="1" showAll="0">
      <items count="15">
        <item x="6"/>
        <item x="4"/>
        <item x="9"/>
        <item x="11"/>
        <item x="2"/>
        <item x="3"/>
        <item x="0"/>
        <item x="1"/>
        <item x="12"/>
        <item x="5"/>
        <item x="10"/>
        <item x="13"/>
        <item x="7"/>
        <item x="8"/>
        <item t="default"/>
      </items>
    </pivotField>
    <pivotField axis="axisRow" showAll="0">
      <items count="21">
        <item x="12"/>
        <item x="9"/>
        <item x="7"/>
        <item x="15"/>
        <item x="5"/>
        <item x="17"/>
        <item x="11"/>
        <item x="10"/>
        <item x="2"/>
        <item x="8"/>
        <item x="18"/>
        <item x="13"/>
        <item x="0"/>
        <item x="16"/>
        <item x="19"/>
        <item x="1"/>
        <item x="4"/>
        <item x="3"/>
        <item x="14"/>
        <item x="6"/>
        <item t="default"/>
      </items>
    </pivotField>
    <pivotField numFmtId="164" showAll="0"/>
    <pivotField numFmtId="1" showAll="0"/>
    <pivotField showAll="0"/>
    <pivotField showAll="0"/>
  </pivotFields>
  <rowFields count="2">
    <field x="4"/>
    <field x="3"/>
  </rowFields>
  <rowItems count="32">
    <i>
      <x v="2"/>
    </i>
    <i r="1">
      <x/>
    </i>
    <i>
      <x v="5"/>
    </i>
    <i r="1">
      <x v="8"/>
    </i>
    <i>
      <x v="6"/>
    </i>
    <i r="1">
      <x v="10"/>
    </i>
    <i>
      <x v="7"/>
    </i>
    <i r="1">
      <x v="2"/>
    </i>
    <i>
      <x v="8"/>
    </i>
    <i r="1">
      <x v="3"/>
    </i>
    <i>
      <x v="9"/>
    </i>
    <i r="1">
      <x v="12"/>
    </i>
    <i r="1">
      <x v="13"/>
    </i>
    <i>
      <x v="10"/>
    </i>
    <i r="1">
      <x v="8"/>
    </i>
    <i>
      <x v="11"/>
    </i>
    <i r="1">
      <x v="8"/>
    </i>
    <i>
      <x v="12"/>
    </i>
    <i r="1">
      <x v="6"/>
    </i>
    <i>
      <x v="13"/>
    </i>
    <i r="1">
      <x v="11"/>
    </i>
    <i>
      <x v="15"/>
    </i>
    <i r="1">
      <x v="7"/>
    </i>
    <i>
      <x v="16"/>
    </i>
    <i r="1">
      <x v="5"/>
    </i>
    <i>
      <x v="17"/>
    </i>
    <i r="1">
      <x v="4"/>
    </i>
    <i>
      <x v="18"/>
    </i>
    <i r="1">
      <x v="7"/>
    </i>
    <i>
      <x v="19"/>
    </i>
    <i r="1">
      <x v="9"/>
    </i>
    <i t="grand">
      <x/>
    </i>
  </rowItems>
  <colFields count="1">
    <field x="0"/>
  </colFields>
  <colItems count="1">
    <i>
      <x/>
    </i>
  </colItems>
  <dataFields count="1">
    <dataField name="Clubes" fld="3" subtotal="count" baseField="0" baseItem="0"/>
  </dataFields>
  <formats count="46">
    <format dxfId="69">
      <pivotArea type="all" dataOnly="0" outline="0" fieldPosition="0"/>
    </format>
    <format dxfId="68">
      <pivotArea outline="0" collapsedLevelsAreSubtotals="1" fieldPosition="0"/>
    </format>
    <format dxfId="67">
      <pivotArea type="origin" dataOnly="0" labelOnly="1" outline="0" fieldPosition="0"/>
    </format>
    <format dxfId="66">
      <pivotArea field="0" type="button" dataOnly="0" labelOnly="1" outline="0" axis="axisCol" fieldPosition="0"/>
    </format>
    <format dxfId="65">
      <pivotArea field="4" type="button" dataOnly="0" labelOnly="1" outline="0" axis="axisRow" fieldPosition="0"/>
    </format>
    <format dxfId="64">
      <pivotArea dataOnly="0" labelOnly="1" fieldPosition="0">
        <references count="1">
          <reference field="4" count="15">
            <x v="2"/>
            <x v="5"/>
            <x v="6"/>
            <x v="7"/>
            <x v="8"/>
            <x v="9"/>
            <x v="10"/>
            <x v="11"/>
            <x v="12"/>
            <x v="13"/>
            <x v="15"/>
            <x v="16"/>
            <x v="17"/>
            <x v="18"/>
            <x v="19"/>
          </reference>
        </references>
      </pivotArea>
    </format>
    <format dxfId="63">
      <pivotArea dataOnly="0" labelOnly="1" grandRow="1" outline="0" fieldPosition="0"/>
    </format>
    <format dxfId="62">
      <pivotArea dataOnly="0" labelOnly="1" fieldPosition="0">
        <references count="2">
          <reference field="3" count="1">
            <x v="0"/>
          </reference>
          <reference field="4" count="1" selected="0">
            <x v="2"/>
          </reference>
        </references>
      </pivotArea>
    </format>
    <format dxfId="61">
      <pivotArea dataOnly="0" labelOnly="1" fieldPosition="0">
        <references count="2">
          <reference field="3" count="1">
            <x v="8"/>
          </reference>
          <reference field="4" count="1" selected="0">
            <x v="5"/>
          </reference>
        </references>
      </pivotArea>
    </format>
    <format dxfId="60">
      <pivotArea dataOnly="0" labelOnly="1" fieldPosition="0">
        <references count="2">
          <reference field="3" count="1">
            <x v="10"/>
          </reference>
          <reference field="4" count="1" selected="0">
            <x v="6"/>
          </reference>
        </references>
      </pivotArea>
    </format>
    <format dxfId="59">
      <pivotArea dataOnly="0" labelOnly="1" fieldPosition="0">
        <references count="2">
          <reference field="3" count="1">
            <x v="2"/>
          </reference>
          <reference field="4" count="1" selected="0">
            <x v="7"/>
          </reference>
        </references>
      </pivotArea>
    </format>
    <format dxfId="58">
      <pivotArea dataOnly="0" labelOnly="1" fieldPosition="0">
        <references count="2">
          <reference field="3" count="1">
            <x v="3"/>
          </reference>
          <reference field="4" count="1" selected="0">
            <x v="8"/>
          </reference>
        </references>
      </pivotArea>
    </format>
    <format dxfId="57">
      <pivotArea dataOnly="0" labelOnly="1" fieldPosition="0">
        <references count="2">
          <reference field="3" count="2">
            <x v="12"/>
            <x v="13"/>
          </reference>
          <reference field="4" count="1" selected="0">
            <x v="9"/>
          </reference>
        </references>
      </pivotArea>
    </format>
    <format dxfId="56">
      <pivotArea dataOnly="0" labelOnly="1" fieldPosition="0">
        <references count="2">
          <reference field="3" count="1">
            <x v="8"/>
          </reference>
          <reference field="4" count="1" selected="0">
            <x v="10"/>
          </reference>
        </references>
      </pivotArea>
    </format>
    <format dxfId="55">
      <pivotArea dataOnly="0" labelOnly="1" fieldPosition="0">
        <references count="2">
          <reference field="3" count="1">
            <x v="8"/>
          </reference>
          <reference field="4" count="1" selected="0">
            <x v="11"/>
          </reference>
        </references>
      </pivotArea>
    </format>
    <format dxfId="54">
      <pivotArea dataOnly="0" labelOnly="1" fieldPosition="0">
        <references count="2">
          <reference field="3" count="1">
            <x v="6"/>
          </reference>
          <reference field="4" count="1" selected="0">
            <x v="12"/>
          </reference>
        </references>
      </pivotArea>
    </format>
    <format dxfId="53">
      <pivotArea dataOnly="0" labelOnly="1" fieldPosition="0">
        <references count="2">
          <reference field="3" count="1">
            <x v="11"/>
          </reference>
          <reference field="4" count="1" selected="0">
            <x v="13"/>
          </reference>
        </references>
      </pivotArea>
    </format>
    <format dxfId="52">
      <pivotArea dataOnly="0" labelOnly="1" fieldPosition="0">
        <references count="2">
          <reference field="3" count="1">
            <x v="7"/>
          </reference>
          <reference field="4" count="1" selected="0">
            <x v="15"/>
          </reference>
        </references>
      </pivotArea>
    </format>
    <format dxfId="51">
      <pivotArea dataOnly="0" labelOnly="1" fieldPosition="0">
        <references count="2">
          <reference field="3" count="1">
            <x v="5"/>
          </reference>
          <reference field="4" count="1" selected="0">
            <x v="16"/>
          </reference>
        </references>
      </pivotArea>
    </format>
    <format dxfId="50">
      <pivotArea dataOnly="0" labelOnly="1" fieldPosition="0">
        <references count="2">
          <reference field="3" count="1">
            <x v="4"/>
          </reference>
          <reference field="4" count="1" selected="0">
            <x v="17"/>
          </reference>
        </references>
      </pivotArea>
    </format>
    <format dxfId="49">
      <pivotArea dataOnly="0" labelOnly="1" fieldPosition="0">
        <references count="2">
          <reference field="3" count="1">
            <x v="7"/>
          </reference>
          <reference field="4" count="1" selected="0">
            <x v="18"/>
          </reference>
        </references>
      </pivotArea>
    </format>
    <format dxfId="48">
      <pivotArea dataOnly="0" labelOnly="1" fieldPosition="0">
        <references count="2">
          <reference field="3" count="1">
            <x v="9"/>
          </reference>
          <reference field="4" count="1" selected="0">
            <x v="19"/>
          </reference>
        </references>
      </pivotArea>
    </format>
    <format dxfId="47">
      <pivotArea dataOnly="0" labelOnly="1" fieldPosition="0">
        <references count="1">
          <reference field="0" count="0"/>
        </references>
      </pivotArea>
    </format>
    <format dxfId="46">
      <pivotArea type="all" dataOnly="0" outline="0" fieldPosition="0"/>
    </format>
    <format dxfId="45">
      <pivotArea outline="0" collapsedLevelsAreSubtotals="1" fieldPosition="0"/>
    </format>
    <format dxfId="44">
      <pivotArea type="origin" dataOnly="0" labelOnly="1" outline="0" fieldPosition="0"/>
    </format>
    <format dxfId="43">
      <pivotArea field="0" type="button" dataOnly="0" labelOnly="1" outline="0" axis="axisCol" fieldPosition="0"/>
    </format>
    <format dxfId="42">
      <pivotArea field="4" type="button" dataOnly="0" labelOnly="1" outline="0" axis="axisRow" fieldPosition="0"/>
    </format>
    <format dxfId="41">
      <pivotArea dataOnly="0" labelOnly="1" fieldPosition="0">
        <references count="1">
          <reference field="4" count="15">
            <x v="2"/>
            <x v="5"/>
            <x v="6"/>
            <x v="7"/>
            <x v="8"/>
            <x v="9"/>
            <x v="10"/>
            <x v="11"/>
            <x v="12"/>
            <x v="13"/>
            <x v="15"/>
            <x v="16"/>
            <x v="17"/>
            <x v="18"/>
            <x v="19"/>
          </reference>
        </references>
      </pivotArea>
    </format>
    <format dxfId="40">
      <pivotArea dataOnly="0" labelOnly="1" grandRow="1" outline="0" fieldPosition="0"/>
    </format>
    <format dxfId="39">
      <pivotArea dataOnly="0" labelOnly="1" fieldPosition="0">
        <references count="2">
          <reference field="3" count="1">
            <x v="0"/>
          </reference>
          <reference field="4" count="1" selected="0">
            <x v="2"/>
          </reference>
        </references>
      </pivotArea>
    </format>
    <format dxfId="38">
      <pivotArea dataOnly="0" labelOnly="1" fieldPosition="0">
        <references count="2">
          <reference field="3" count="1">
            <x v="8"/>
          </reference>
          <reference field="4" count="1" selected="0">
            <x v="5"/>
          </reference>
        </references>
      </pivotArea>
    </format>
    <format dxfId="37">
      <pivotArea dataOnly="0" labelOnly="1" fieldPosition="0">
        <references count="2">
          <reference field="3" count="1">
            <x v="10"/>
          </reference>
          <reference field="4" count="1" selected="0">
            <x v="6"/>
          </reference>
        </references>
      </pivotArea>
    </format>
    <format dxfId="36">
      <pivotArea dataOnly="0" labelOnly="1" fieldPosition="0">
        <references count="2">
          <reference field="3" count="1">
            <x v="2"/>
          </reference>
          <reference field="4" count="1" selected="0">
            <x v="7"/>
          </reference>
        </references>
      </pivotArea>
    </format>
    <format dxfId="35">
      <pivotArea dataOnly="0" labelOnly="1" fieldPosition="0">
        <references count="2">
          <reference field="3" count="1">
            <x v="3"/>
          </reference>
          <reference field="4" count="1" selected="0">
            <x v="8"/>
          </reference>
        </references>
      </pivotArea>
    </format>
    <format dxfId="34">
      <pivotArea dataOnly="0" labelOnly="1" fieldPosition="0">
        <references count="2">
          <reference field="3" count="2">
            <x v="12"/>
            <x v="13"/>
          </reference>
          <reference field="4" count="1" selected="0">
            <x v="9"/>
          </reference>
        </references>
      </pivotArea>
    </format>
    <format dxfId="33">
      <pivotArea dataOnly="0" labelOnly="1" fieldPosition="0">
        <references count="2">
          <reference field="3" count="1">
            <x v="8"/>
          </reference>
          <reference field="4" count="1" selected="0">
            <x v="10"/>
          </reference>
        </references>
      </pivotArea>
    </format>
    <format dxfId="32">
      <pivotArea dataOnly="0" labelOnly="1" fieldPosition="0">
        <references count="2">
          <reference field="3" count="1">
            <x v="8"/>
          </reference>
          <reference field="4" count="1" selected="0">
            <x v="11"/>
          </reference>
        </references>
      </pivotArea>
    </format>
    <format dxfId="31">
      <pivotArea dataOnly="0" labelOnly="1" fieldPosition="0">
        <references count="2">
          <reference field="3" count="1">
            <x v="6"/>
          </reference>
          <reference field="4" count="1" selected="0">
            <x v="12"/>
          </reference>
        </references>
      </pivotArea>
    </format>
    <format dxfId="30">
      <pivotArea dataOnly="0" labelOnly="1" fieldPosition="0">
        <references count="2">
          <reference field="3" count="1">
            <x v="11"/>
          </reference>
          <reference field="4" count="1" selected="0">
            <x v="13"/>
          </reference>
        </references>
      </pivotArea>
    </format>
    <format dxfId="29">
      <pivotArea dataOnly="0" labelOnly="1" fieldPosition="0">
        <references count="2">
          <reference field="3" count="1">
            <x v="7"/>
          </reference>
          <reference field="4" count="1" selected="0">
            <x v="15"/>
          </reference>
        </references>
      </pivotArea>
    </format>
    <format dxfId="28">
      <pivotArea dataOnly="0" labelOnly="1" fieldPosition="0">
        <references count="2">
          <reference field="3" count="1">
            <x v="5"/>
          </reference>
          <reference field="4" count="1" selected="0">
            <x v="16"/>
          </reference>
        </references>
      </pivotArea>
    </format>
    <format dxfId="27">
      <pivotArea dataOnly="0" labelOnly="1" fieldPosition="0">
        <references count="2">
          <reference field="3" count="1">
            <x v="4"/>
          </reference>
          <reference field="4" count="1" selected="0">
            <x v="17"/>
          </reference>
        </references>
      </pivotArea>
    </format>
    <format dxfId="26">
      <pivotArea dataOnly="0" labelOnly="1" fieldPosition="0">
        <references count="2">
          <reference field="3" count="1">
            <x v="7"/>
          </reference>
          <reference field="4" count="1" selected="0">
            <x v="18"/>
          </reference>
        </references>
      </pivotArea>
    </format>
    <format dxfId="25">
      <pivotArea dataOnly="0" labelOnly="1" fieldPosition="0">
        <references count="2">
          <reference field="3" count="1">
            <x v="9"/>
          </reference>
          <reference field="4" count="1" selected="0">
            <x v="19"/>
          </reference>
        </references>
      </pivotArea>
    </format>
    <format dxfId="24">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6EC5F2-74EB-477F-A9D9-AF44A2544855}" name="Tabela dinâmica3" cacheId="0"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chartFormat="3" rowHeaderCaption="Faixa Etária" colHeaderCaption="Tipo de Movimentação">
  <location ref="Y14:Z20" firstHeaderRow="1" firstDataRow="2" firstDataCol="1"/>
  <pivotFields count="10">
    <pivotField showAll="0"/>
    <pivotField axis="axisCol" showAll="0">
      <items count="3">
        <item h="1" x="1"/>
        <item x="0"/>
        <item t="default"/>
      </items>
    </pivotField>
    <pivotField showAll="0"/>
    <pivotField showAll="0"/>
    <pivotField showAll="0"/>
    <pivotField showAll="0"/>
    <pivotField numFmtId="164" showAll="0"/>
    <pivotField numFmtId="1" showAll="0"/>
    <pivotField axis="axisRow" dataField="1" showAll="0" sortType="ascending">
      <items count="9">
        <item m="1" x="5"/>
        <item m="1" x="4"/>
        <item m="1" x="7"/>
        <item m="1" x="6"/>
        <item x="3"/>
        <item x="0"/>
        <item x="1"/>
        <item x="2"/>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s>
  <rowFields count="1">
    <field x="8"/>
  </rowFields>
  <rowItems count="5">
    <i>
      <x v="4"/>
    </i>
    <i>
      <x v="7"/>
    </i>
    <i>
      <x v="6"/>
    </i>
    <i>
      <x v="5"/>
    </i>
    <i t="grand">
      <x/>
    </i>
  </rowItems>
  <colFields count="1">
    <field x="1"/>
  </colFields>
  <colItems count="1">
    <i>
      <x v="1"/>
    </i>
  </colItems>
  <dataFields count="1">
    <dataField name="Contagem de Jogadores" fld="8" subtotal="count" baseField="8" baseItem="0"/>
  </dataFields>
  <formats count="9">
    <format dxfId="78">
      <pivotArea collapsedLevelsAreSubtotals="1" fieldPosition="0">
        <references count="1">
          <reference field="8" count="0"/>
        </references>
      </pivotArea>
    </format>
    <format dxfId="77">
      <pivotArea field="8" type="button" dataOnly="0" labelOnly="1" outline="0" axis="axisRow" fieldPosition="0"/>
    </format>
    <format dxfId="76">
      <pivotArea dataOnly="0" labelOnly="1" fieldPosition="0">
        <references count="1">
          <reference field="8" count="0"/>
        </references>
      </pivotArea>
    </format>
    <format dxfId="75">
      <pivotArea dataOnly="0" labelOnly="1" outline="0" axis="axisValues" fieldPosition="0"/>
    </format>
    <format dxfId="74">
      <pivotArea grandRow="1" outline="0" collapsedLevelsAreSubtotals="1" fieldPosition="0"/>
    </format>
    <format dxfId="73">
      <pivotArea dataOnly="0" labelOnly="1" grandRow="1" outline="0" fieldPosition="0"/>
    </format>
    <format dxfId="72">
      <pivotArea dataOnly="0" labelOnly="1" fieldPosition="0">
        <references count="1">
          <reference field="1" count="0"/>
        </references>
      </pivotArea>
    </format>
    <format dxfId="71">
      <pivotArea field="1" type="button" dataOnly="0" labelOnly="1" outline="0" axis="axisCol" fieldPosition="0"/>
    </format>
    <format dxfId="70">
      <pivotArea type="origin" dataOnly="0" labelOnly="1" outline="0"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4CEA3A-CD0A-459C-A420-1FB249800D4C}" name="Tabela dinâmica4" cacheId="1"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chartFormat="2" rowHeaderCaption="Nacionalidades" colHeaderCaption="Contagem de Jogadores">
  <location ref="AK14:AL29" firstHeaderRow="1" firstDataRow="2" firstDataCol="1"/>
  <pivotFields count="9">
    <pivotField axis="axisCol" showAll="0">
      <items count="3">
        <item x="0"/>
        <item h="1" x="1"/>
        <item t="default"/>
      </items>
    </pivotField>
    <pivotField showAll="0"/>
    <pivotField showAll="0"/>
    <pivotField axis="axisRow" dataField="1" showAll="0" sortType="ascending">
      <items count="15">
        <item x="6"/>
        <item x="4"/>
        <item x="9"/>
        <item x="11"/>
        <item x="2"/>
        <item x="3"/>
        <item x="0"/>
        <item x="1"/>
        <item x="12"/>
        <item x="5"/>
        <item x="10"/>
        <item x="13"/>
        <item x="7"/>
        <item x="8"/>
        <item t="default"/>
      </items>
      <autoSortScope>
        <pivotArea dataOnly="0" outline="0" fieldPosition="0">
          <references count="2">
            <reference field="4294967294" count="1" selected="0">
              <x v="0"/>
            </reference>
            <reference field="0" count="1" selected="0">
              <x v="0"/>
            </reference>
          </references>
        </pivotArea>
      </autoSortScope>
    </pivotField>
    <pivotField showAll="0">
      <items count="21">
        <item x="12"/>
        <item x="9"/>
        <item x="7"/>
        <item x="15"/>
        <item x="5"/>
        <item x="17"/>
        <item x="11"/>
        <item x="10"/>
        <item x="2"/>
        <item x="8"/>
        <item x="18"/>
        <item x="13"/>
        <item x="0"/>
        <item x="16"/>
        <item x="19"/>
        <item x="1"/>
        <item x="4"/>
        <item x="3"/>
        <item x="14"/>
        <item x="6"/>
        <item t="default"/>
      </items>
    </pivotField>
    <pivotField numFmtId="164" showAll="0"/>
    <pivotField numFmtId="1" showAll="0"/>
    <pivotField showAll="0"/>
    <pivotField showAll="0"/>
  </pivotFields>
  <rowFields count="1">
    <field x="3"/>
  </rowFields>
  <rowItems count="14">
    <i>
      <x v="6"/>
    </i>
    <i>
      <x v="13"/>
    </i>
    <i>
      <x/>
    </i>
    <i>
      <x v="3"/>
    </i>
    <i>
      <x v="9"/>
    </i>
    <i>
      <x v="5"/>
    </i>
    <i>
      <x v="10"/>
    </i>
    <i>
      <x v="4"/>
    </i>
    <i>
      <x v="11"/>
    </i>
    <i>
      <x v="2"/>
    </i>
    <i>
      <x v="12"/>
    </i>
    <i>
      <x v="7"/>
    </i>
    <i>
      <x v="8"/>
    </i>
    <i t="grand">
      <x/>
    </i>
  </rowItems>
  <colFields count="1">
    <field x="0"/>
  </colFields>
  <colItems count="1">
    <i>
      <x/>
    </i>
  </colItems>
  <dataFields count="1">
    <dataField name="Contagem de Nacionalidades" fld="3" subtotal="count" baseField="0" baseItem="0"/>
  </dataFields>
  <formats count="7">
    <format dxfId="85">
      <pivotArea collapsedLevelsAreSubtotals="1" fieldPosition="0">
        <references count="1">
          <reference field="3" count="0"/>
        </references>
      </pivotArea>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outline="0" axis="axisValues" fieldPosition="0"/>
    </format>
    <format dxfId="81">
      <pivotArea grandRow="1" outline="0" collapsedLevelsAreSubtotals="1" fieldPosition="0"/>
    </format>
    <format dxfId="80">
      <pivotArea dataOnly="0" labelOnly="1" fieldPosition="0">
        <references count="1">
          <reference field="0" count="0"/>
        </references>
      </pivotArea>
    </format>
    <format dxfId="79">
      <pivotArea type="origin" dataOnly="0" labelOnly="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C1B1E3-0FD2-4659-8C22-185FC5338B5D}" name="Tabela dinâmica2" cacheId="0" applyNumberFormats="0" applyBorderFormats="0" applyFontFormats="0" applyPatternFormats="0" applyAlignmentFormats="0" applyWidthHeightFormats="1" dataCaption="Valores" updatedVersion="8" minRefreshableVersion="3" useAutoFormatting="1" colGrandTotals="0" itemPrintTitles="1" createdVersion="8" indent="0" outline="1" outlineData="1" multipleFieldFilters="0" chartFormat="5" rowHeaderCaption="Posições" colHeaderCaption="Tipo de Movimentação">
  <location ref="O14:P19" firstHeaderRow="1" firstDataRow="2" firstDataCol="1"/>
  <pivotFields count="10">
    <pivotField showAll="0"/>
    <pivotField axis="axisCol" showAll="0">
      <items count="3">
        <item h="1" x="1"/>
        <item x="0"/>
        <item t="default"/>
      </items>
    </pivotField>
    <pivotField showAll="0"/>
    <pivotField axis="axisRow" showAll="0" sortType="descending">
      <items count="4">
        <item x="1"/>
        <item x="2"/>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dataField="1" numFmtId="164" showAll="0"/>
    <pivotField numFmtId="1" showAll="0"/>
    <pivotField showAll="0"/>
    <pivotField showAll="0"/>
  </pivotFields>
  <rowFields count="1">
    <field x="3"/>
  </rowFields>
  <rowItems count="4">
    <i>
      <x v="2"/>
    </i>
    <i>
      <x/>
    </i>
    <i>
      <x v="1"/>
    </i>
    <i t="grand">
      <x/>
    </i>
  </rowItems>
  <colFields count="1">
    <field x="1"/>
  </colFields>
  <colItems count="1">
    <i>
      <x v="1"/>
    </i>
  </colItems>
  <dataFields count="1">
    <dataField name="Soma do Valor das Transferências" fld="6" baseField="0" baseItem="0" numFmtId="164"/>
  </dataFields>
  <formats count="9">
    <format dxfId="94">
      <pivotArea type="all" dataOnly="0" outline="0" fieldPosition="0"/>
    </format>
    <format dxfId="93">
      <pivotArea outline="0" collapsedLevelsAreSubtotals="1" fieldPosition="0"/>
    </format>
    <format dxfId="92">
      <pivotArea type="origin" dataOnly="0" labelOnly="1" outline="0" fieldPosition="0"/>
    </format>
    <format dxfId="91">
      <pivotArea field="1" type="button" dataOnly="0" labelOnly="1" outline="0" axis="axisCol" fieldPosition="0"/>
    </format>
    <format dxfId="90">
      <pivotArea type="topRight" dataOnly="0" labelOnly="1" outline="0" fieldPosition="0"/>
    </format>
    <format dxfId="89">
      <pivotArea field="3" type="button" dataOnly="0" labelOnly="1" outline="0" axis="axisRow" fieldPosition="0"/>
    </format>
    <format dxfId="88">
      <pivotArea dataOnly="0" labelOnly="1" fieldPosition="0">
        <references count="1">
          <reference field="3" count="0"/>
        </references>
      </pivotArea>
    </format>
    <format dxfId="87">
      <pivotArea dataOnly="0" labelOnly="1" fieldPosition="0">
        <references count="1">
          <reference field="1" count="0"/>
        </references>
      </pivotArea>
    </format>
    <format dxfId="86">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646EF-D473-4C83-8D4E-81DAA494C7E8}">
  <sheetPr>
    <tabColor theme="6" tint="0.79998168889431442"/>
  </sheetPr>
  <dimension ref="A1"/>
  <sheetViews>
    <sheetView showGridLines="0" tabSelected="1" topLeftCell="A83" zoomScaleNormal="100" workbookViewId="0">
      <selection activeCell="J59" sqref="J59"/>
    </sheetView>
  </sheetViews>
  <sheetFormatPr defaultRowHeight="15" x14ac:dyDescent="0.25"/>
  <sheetData/>
  <pageMargins left="0.511811024" right="0.511811024" top="0.78740157499999996" bottom="0.78740157499999996" header="0.31496062000000002" footer="0.31496062000000002"/>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59999389629810485"/>
  </sheetPr>
  <dimension ref="A1:I25"/>
  <sheetViews>
    <sheetView workbookViewId="0">
      <selection activeCell="N9" sqref="N9"/>
    </sheetView>
  </sheetViews>
  <sheetFormatPr defaultRowHeight="15" x14ac:dyDescent="0.25"/>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v>22</v>
      </c>
      <c r="I2" t="s">
        <v>16</v>
      </c>
    </row>
    <row r="3" spans="1:9" x14ac:dyDescent="0.25">
      <c r="A3" t="s">
        <v>17</v>
      </c>
      <c r="B3" t="s">
        <v>18</v>
      </c>
      <c r="C3" t="s">
        <v>19</v>
      </c>
      <c r="D3" t="s">
        <v>20</v>
      </c>
      <c r="E3" t="s">
        <v>21</v>
      </c>
      <c r="F3" t="s">
        <v>22</v>
      </c>
      <c r="G3" t="s">
        <v>23</v>
      </c>
      <c r="H3" t="s">
        <v>24</v>
      </c>
      <c r="I3" t="s">
        <v>25</v>
      </c>
    </row>
    <row r="4" spans="1:9" x14ac:dyDescent="0.25">
      <c r="A4" t="s">
        <v>26</v>
      </c>
      <c r="B4" t="s">
        <v>27</v>
      </c>
      <c r="C4" t="s">
        <v>28</v>
      </c>
      <c r="D4" t="s">
        <v>29</v>
      </c>
      <c r="E4" t="s">
        <v>30</v>
      </c>
      <c r="F4" t="s">
        <v>31</v>
      </c>
      <c r="G4" t="s">
        <v>32</v>
      </c>
      <c r="H4">
        <v>27</v>
      </c>
      <c r="I4" t="s">
        <v>33</v>
      </c>
    </row>
    <row r="5" spans="1:9" x14ac:dyDescent="0.25">
      <c r="A5" t="s">
        <v>34</v>
      </c>
      <c r="B5" t="s">
        <v>18</v>
      </c>
      <c r="C5" t="s">
        <v>35</v>
      </c>
      <c r="D5" t="s">
        <v>36</v>
      </c>
      <c r="E5" t="s">
        <v>37</v>
      </c>
      <c r="F5" t="s">
        <v>38</v>
      </c>
      <c r="G5" t="s">
        <v>39</v>
      </c>
      <c r="H5">
        <v>25</v>
      </c>
      <c r="I5" t="s">
        <v>40</v>
      </c>
    </row>
    <row r="6" spans="1:9" x14ac:dyDescent="0.25">
      <c r="A6" t="s">
        <v>41</v>
      </c>
      <c r="B6" t="s">
        <v>10</v>
      </c>
      <c r="C6" t="s">
        <v>42</v>
      </c>
      <c r="D6" t="s">
        <v>43</v>
      </c>
      <c r="E6" t="s">
        <v>44</v>
      </c>
      <c r="F6" t="s">
        <v>45</v>
      </c>
      <c r="G6" t="s">
        <v>46</v>
      </c>
      <c r="H6" t="s">
        <v>47</v>
      </c>
      <c r="I6" t="s">
        <v>16</v>
      </c>
    </row>
    <row r="7" spans="1:9" x14ac:dyDescent="0.25">
      <c r="A7" t="s">
        <v>34</v>
      </c>
      <c r="B7" t="s">
        <v>48</v>
      </c>
      <c r="C7" t="s">
        <v>49</v>
      </c>
      <c r="D7" t="s">
        <v>50</v>
      </c>
      <c r="E7" t="s">
        <v>51</v>
      </c>
      <c r="F7" t="s">
        <v>52</v>
      </c>
      <c r="G7" t="s">
        <v>53</v>
      </c>
      <c r="H7">
        <v>33</v>
      </c>
      <c r="I7" t="s">
        <v>54</v>
      </c>
    </row>
    <row r="8" spans="1:9" x14ac:dyDescent="0.25">
      <c r="A8" t="s">
        <v>55</v>
      </c>
      <c r="B8" t="s">
        <v>18</v>
      </c>
      <c r="C8" t="s">
        <v>56</v>
      </c>
      <c r="D8" t="s">
        <v>57</v>
      </c>
      <c r="E8" t="s">
        <v>58</v>
      </c>
      <c r="F8" t="s">
        <v>59</v>
      </c>
      <c r="G8" t="s">
        <v>60</v>
      </c>
      <c r="H8">
        <v>23</v>
      </c>
      <c r="I8" t="s">
        <v>16</v>
      </c>
    </row>
    <row r="9" spans="1:9" x14ac:dyDescent="0.25">
      <c r="A9" t="s">
        <v>61</v>
      </c>
      <c r="B9" t="s">
        <v>10</v>
      </c>
      <c r="C9" t="s">
        <v>62</v>
      </c>
      <c r="D9" t="s">
        <v>63</v>
      </c>
      <c r="E9" t="s">
        <v>64</v>
      </c>
      <c r="F9" t="s">
        <v>65</v>
      </c>
      <c r="G9" t="s">
        <v>66</v>
      </c>
      <c r="H9">
        <v>21</v>
      </c>
      <c r="I9" t="s">
        <v>67</v>
      </c>
    </row>
    <row r="10" spans="1:9" x14ac:dyDescent="0.25">
      <c r="A10" t="s">
        <v>55</v>
      </c>
      <c r="B10" t="s">
        <v>68</v>
      </c>
      <c r="C10" t="s">
        <v>69</v>
      </c>
      <c r="D10" t="s">
        <v>70</v>
      </c>
      <c r="E10" t="s">
        <v>71</v>
      </c>
      <c r="F10" t="s">
        <v>72</v>
      </c>
      <c r="G10" t="s">
        <v>73</v>
      </c>
      <c r="H10">
        <v>32</v>
      </c>
      <c r="I10" t="s">
        <v>74</v>
      </c>
    </row>
    <row r="11" spans="1:9" x14ac:dyDescent="0.25">
      <c r="A11" t="s">
        <v>75</v>
      </c>
      <c r="B11" t="s">
        <v>18</v>
      </c>
      <c r="C11" t="s">
        <v>76</v>
      </c>
      <c r="D11" t="s">
        <v>77</v>
      </c>
      <c r="E11" t="s">
        <v>78</v>
      </c>
      <c r="F11" t="s">
        <v>79</v>
      </c>
      <c r="G11" t="s">
        <v>80</v>
      </c>
      <c r="H11">
        <v>25</v>
      </c>
      <c r="I11" t="s">
        <v>16</v>
      </c>
    </row>
    <row r="12" spans="1:9" x14ac:dyDescent="0.25">
      <c r="A12" t="s">
        <v>81</v>
      </c>
      <c r="B12" t="s">
        <v>18</v>
      </c>
      <c r="C12" t="s">
        <v>82</v>
      </c>
      <c r="D12" t="s">
        <v>83</v>
      </c>
      <c r="E12" t="s">
        <v>84</v>
      </c>
      <c r="F12" t="s">
        <v>85</v>
      </c>
      <c r="G12" t="s">
        <v>86</v>
      </c>
      <c r="H12" t="s">
        <v>87</v>
      </c>
      <c r="I12" t="s">
        <v>16</v>
      </c>
    </row>
    <row r="13" spans="1:9" x14ac:dyDescent="0.25">
      <c r="A13" t="s">
        <v>75</v>
      </c>
      <c r="B13" t="s">
        <v>27</v>
      </c>
      <c r="C13" t="s">
        <v>88</v>
      </c>
      <c r="D13" t="s">
        <v>89</v>
      </c>
      <c r="E13" t="s">
        <v>90</v>
      </c>
      <c r="F13" t="s">
        <v>91</v>
      </c>
      <c r="G13" t="s">
        <v>92</v>
      </c>
      <c r="H13">
        <v>24</v>
      </c>
      <c r="I13" t="s">
        <v>33</v>
      </c>
    </row>
    <row r="14" spans="1:9" x14ac:dyDescent="0.25">
      <c r="A14" t="s">
        <v>93</v>
      </c>
      <c r="B14" t="s">
        <v>94</v>
      </c>
      <c r="C14" t="s">
        <v>95</v>
      </c>
      <c r="D14" t="s">
        <v>96</v>
      </c>
      <c r="E14" t="s">
        <v>97</v>
      </c>
      <c r="F14" t="s">
        <v>98</v>
      </c>
      <c r="G14" t="s">
        <v>99</v>
      </c>
      <c r="H14">
        <v>26</v>
      </c>
      <c r="I14" t="s">
        <v>25</v>
      </c>
    </row>
    <row r="15" spans="1:9" x14ac:dyDescent="0.25">
      <c r="A15" t="s">
        <v>93</v>
      </c>
      <c r="B15" t="s">
        <v>18</v>
      </c>
      <c r="C15" t="s">
        <v>100</v>
      </c>
      <c r="D15" t="s">
        <v>101</v>
      </c>
      <c r="E15" t="s">
        <v>90</v>
      </c>
      <c r="F15" t="s">
        <v>102</v>
      </c>
      <c r="G15" t="s">
        <v>103</v>
      </c>
      <c r="H15">
        <v>22</v>
      </c>
      <c r="I15" t="s">
        <v>16</v>
      </c>
    </row>
    <row r="16" spans="1:9" x14ac:dyDescent="0.25">
      <c r="A16" t="s">
        <v>93</v>
      </c>
      <c r="B16" t="s">
        <v>48</v>
      </c>
      <c r="C16" t="s">
        <v>104</v>
      </c>
      <c r="D16" t="s">
        <v>105</v>
      </c>
      <c r="E16" t="s">
        <v>106</v>
      </c>
      <c r="F16" t="s">
        <v>107</v>
      </c>
      <c r="G16" t="s">
        <v>108</v>
      </c>
      <c r="H16">
        <v>30</v>
      </c>
      <c r="I16" t="s">
        <v>74</v>
      </c>
    </row>
    <row r="17" spans="1:9" x14ac:dyDescent="0.25">
      <c r="A17" t="s">
        <v>109</v>
      </c>
      <c r="B17" t="s">
        <v>10</v>
      </c>
      <c r="C17" t="s">
        <v>110</v>
      </c>
      <c r="D17" t="s">
        <v>111</v>
      </c>
      <c r="E17" t="s">
        <v>97</v>
      </c>
      <c r="F17" t="s">
        <v>112</v>
      </c>
      <c r="G17" t="s">
        <v>113</v>
      </c>
      <c r="H17">
        <v>26</v>
      </c>
      <c r="I17" t="s">
        <v>16</v>
      </c>
    </row>
    <row r="18" spans="1:9" x14ac:dyDescent="0.25">
      <c r="A18" t="s">
        <v>109</v>
      </c>
      <c r="B18" t="s">
        <v>18</v>
      </c>
      <c r="C18" t="s">
        <v>114</v>
      </c>
      <c r="D18" t="s">
        <v>115</v>
      </c>
      <c r="E18" t="s">
        <v>116</v>
      </c>
      <c r="F18" t="s">
        <v>117</v>
      </c>
      <c r="G18" t="s">
        <v>118</v>
      </c>
      <c r="H18" t="s">
        <v>119</v>
      </c>
      <c r="I18" t="s">
        <v>16</v>
      </c>
    </row>
    <row r="19" spans="1:9" x14ac:dyDescent="0.25">
      <c r="A19" t="s">
        <v>109</v>
      </c>
      <c r="B19" t="s">
        <v>48</v>
      </c>
      <c r="C19" t="s">
        <v>120</v>
      </c>
      <c r="D19" t="s">
        <v>36</v>
      </c>
      <c r="E19" t="s">
        <v>30</v>
      </c>
      <c r="F19" t="s">
        <v>121</v>
      </c>
      <c r="G19" t="s">
        <v>122</v>
      </c>
      <c r="H19">
        <v>29</v>
      </c>
      <c r="I19" t="s">
        <v>33</v>
      </c>
    </row>
    <row r="20" spans="1:9" x14ac:dyDescent="0.25">
      <c r="A20" t="s">
        <v>93</v>
      </c>
      <c r="B20" t="s">
        <v>48</v>
      </c>
      <c r="C20" t="s">
        <v>104</v>
      </c>
      <c r="D20" t="s">
        <v>105</v>
      </c>
      <c r="E20" t="s">
        <v>106</v>
      </c>
      <c r="F20" t="s">
        <v>107</v>
      </c>
      <c r="G20" t="s">
        <v>108</v>
      </c>
      <c r="H20">
        <v>30</v>
      </c>
      <c r="I20" t="s">
        <v>74</v>
      </c>
    </row>
    <row r="21" spans="1:9" x14ac:dyDescent="0.25">
      <c r="A21" t="s">
        <v>75</v>
      </c>
      <c r="C21" t="s">
        <v>123</v>
      </c>
      <c r="E21" t="s">
        <v>124</v>
      </c>
      <c r="F21" t="s">
        <v>125</v>
      </c>
      <c r="H21">
        <v>33</v>
      </c>
      <c r="I21" t="s">
        <v>53</v>
      </c>
    </row>
    <row r="22" spans="1:9" x14ac:dyDescent="0.25">
      <c r="A22" t="s">
        <v>55</v>
      </c>
      <c r="B22" t="s">
        <v>126</v>
      </c>
      <c r="C22" t="s">
        <v>127</v>
      </c>
      <c r="D22" t="s">
        <v>128</v>
      </c>
      <c r="E22" t="s">
        <v>129</v>
      </c>
      <c r="F22" t="s">
        <v>65</v>
      </c>
      <c r="G22" t="s">
        <v>130</v>
      </c>
      <c r="H22">
        <v>24</v>
      </c>
      <c r="I22" t="s">
        <v>16</v>
      </c>
    </row>
    <row r="23" spans="1:9" x14ac:dyDescent="0.25">
      <c r="A23" t="s">
        <v>16</v>
      </c>
      <c r="B23" t="s">
        <v>34</v>
      </c>
      <c r="C23" t="s">
        <v>131</v>
      </c>
      <c r="D23" t="s">
        <v>132</v>
      </c>
      <c r="E23" t="s">
        <v>133</v>
      </c>
      <c r="F23" t="s">
        <v>134</v>
      </c>
      <c r="G23" t="s">
        <v>135</v>
      </c>
      <c r="H23">
        <v>28</v>
      </c>
      <c r="I23" t="s">
        <v>18</v>
      </c>
    </row>
    <row r="24" spans="1:9" x14ac:dyDescent="0.25">
      <c r="A24" t="s">
        <v>0</v>
      </c>
      <c r="B24" t="s">
        <v>1</v>
      </c>
      <c r="C24" t="s">
        <v>2</v>
      </c>
      <c r="D24" t="s">
        <v>3</v>
      </c>
      <c r="E24" t="s">
        <v>4</v>
      </c>
      <c r="F24" t="s">
        <v>5</v>
      </c>
      <c r="G24" t="s">
        <v>6</v>
      </c>
      <c r="H24" t="s">
        <v>7</v>
      </c>
      <c r="I24" t="s">
        <v>8</v>
      </c>
    </row>
    <row r="25" spans="1:9" x14ac:dyDescent="0.25">
      <c r="A25" t="s">
        <v>93</v>
      </c>
      <c r="B25" t="s">
        <v>18</v>
      </c>
      <c r="C25" t="s">
        <v>136</v>
      </c>
      <c r="D25" t="s">
        <v>137</v>
      </c>
      <c r="E25" t="s">
        <v>138</v>
      </c>
      <c r="F25" t="s">
        <v>139</v>
      </c>
      <c r="H25">
        <v>22</v>
      </c>
      <c r="I25" t="s">
        <v>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A8764-E71B-430A-8F79-2AFBC43701E9}">
  <sheetPr filterMode="1">
    <tabColor theme="6" tint="0.39997558519241921"/>
  </sheetPr>
  <dimension ref="A1:J24"/>
  <sheetViews>
    <sheetView zoomScaleNormal="100" workbookViewId="0">
      <selection activeCell="G30" sqref="G30"/>
    </sheetView>
  </sheetViews>
  <sheetFormatPr defaultRowHeight="15" x14ac:dyDescent="0.25"/>
  <cols>
    <col min="1" max="1" width="18" bestFit="1" customWidth="1"/>
    <col min="2" max="3" width="23.5703125" bestFit="1" customWidth="1"/>
    <col min="4" max="4" width="23.5703125" customWidth="1"/>
    <col min="5" max="5" width="20.42578125" customWidth="1"/>
    <col min="6" max="6" width="19.85546875" bestFit="1" customWidth="1"/>
    <col min="7" max="7" width="23" bestFit="1" customWidth="1"/>
    <col min="8" max="8" width="19.85546875" bestFit="1" customWidth="1"/>
    <col min="9" max="9" width="22.28515625" bestFit="1" customWidth="1"/>
    <col min="10" max="10" width="19.85546875" bestFit="1" customWidth="1"/>
    <col min="11" max="11" width="20.140625" bestFit="1" customWidth="1"/>
  </cols>
  <sheetData>
    <row r="1" spans="1:10" x14ac:dyDescent="0.25">
      <c r="A1" s="2" t="s">
        <v>143</v>
      </c>
      <c r="B1" s="2" t="s">
        <v>144</v>
      </c>
      <c r="C1" s="2" t="s">
        <v>144</v>
      </c>
      <c r="D1" s="2" t="s">
        <v>144</v>
      </c>
      <c r="E1" s="2" t="s">
        <v>144</v>
      </c>
      <c r="F1" s="2" t="s">
        <v>144</v>
      </c>
      <c r="G1" s="2" t="s">
        <v>145</v>
      </c>
      <c r="H1" s="2" t="s">
        <v>146</v>
      </c>
      <c r="I1" s="2" t="s">
        <v>143</v>
      </c>
      <c r="J1" s="2" t="s">
        <v>144</v>
      </c>
    </row>
    <row r="2" spans="1:10" x14ac:dyDescent="0.25">
      <c r="A2" s="3" t="s">
        <v>0</v>
      </c>
      <c r="B2" s="4" t="s">
        <v>140</v>
      </c>
      <c r="C2" s="3" t="s">
        <v>2</v>
      </c>
      <c r="D2" s="3" t="s">
        <v>3</v>
      </c>
      <c r="E2" s="3" t="s">
        <v>4</v>
      </c>
      <c r="F2" s="3" t="s">
        <v>5</v>
      </c>
      <c r="G2" s="4" t="s">
        <v>141</v>
      </c>
      <c r="H2" s="3" t="s">
        <v>7</v>
      </c>
      <c r="I2" s="3" t="s">
        <v>174</v>
      </c>
      <c r="J2" s="4" t="s">
        <v>142</v>
      </c>
    </row>
    <row r="3" spans="1:10" hidden="1" x14ac:dyDescent="0.25">
      <c r="A3" s="2" t="s">
        <v>9</v>
      </c>
      <c r="B3" s="2" t="s">
        <v>18</v>
      </c>
      <c r="C3" s="2" t="s">
        <v>147</v>
      </c>
      <c r="D3" s="2" t="s">
        <v>156</v>
      </c>
      <c r="E3" s="2" t="s">
        <v>13</v>
      </c>
      <c r="F3" s="2" t="s">
        <v>14</v>
      </c>
      <c r="G3" s="6">
        <v>62000000</v>
      </c>
      <c r="H3" s="5">
        <v>22</v>
      </c>
      <c r="I3" s="5" t="str">
        <f t="shared" ref="I3:I24" si="0">IF(H3&lt;=20,"Muito Jovem (16-20 anos)",IF(AND(H3&gt;=21,H3&lt;=25),"Jovem (21-25 anos)",IF(AND(H3&gt;=26,H3&lt;=30),"Experiente (26-30 anos)",IF(H3&gt;31,"Veterano (31+ anos)"))))</f>
        <v>Jovem (21-25 anos)</v>
      </c>
      <c r="J3" s="2" t="s">
        <v>16</v>
      </c>
    </row>
    <row r="4" spans="1:10" hidden="1" x14ac:dyDescent="0.25">
      <c r="A4" s="2" t="s">
        <v>9</v>
      </c>
      <c r="B4" s="2" t="s">
        <v>18</v>
      </c>
      <c r="C4" s="2" t="s">
        <v>88</v>
      </c>
      <c r="D4" s="2" t="s">
        <v>77</v>
      </c>
      <c r="E4" s="2" t="s">
        <v>90</v>
      </c>
      <c r="F4" s="2" t="s">
        <v>22</v>
      </c>
      <c r="G4" s="6">
        <v>30000000</v>
      </c>
      <c r="H4" s="5">
        <v>22</v>
      </c>
      <c r="I4" s="5" t="str">
        <f t="shared" si="0"/>
        <v>Jovem (21-25 anos)</v>
      </c>
      <c r="J4" s="2" t="s">
        <v>16</v>
      </c>
    </row>
    <row r="5" spans="1:10" x14ac:dyDescent="0.25">
      <c r="A5" s="2" t="s">
        <v>9</v>
      </c>
      <c r="B5" s="2" t="s">
        <v>48</v>
      </c>
      <c r="C5" s="2" t="s">
        <v>28</v>
      </c>
      <c r="D5" s="2" t="s">
        <v>156</v>
      </c>
      <c r="E5" s="2" t="s">
        <v>30</v>
      </c>
      <c r="F5" s="2" t="s">
        <v>153</v>
      </c>
      <c r="G5" s="6">
        <v>27000000</v>
      </c>
      <c r="H5" s="5">
        <v>27</v>
      </c>
      <c r="I5" s="5" t="str">
        <f t="shared" si="0"/>
        <v>Experiente (26-30 anos)</v>
      </c>
      <c r="J5" s="2" t="s">
        <v>33</v>
      </c>
    </row>
    <row r="6" spans="1:10" hidden="1" x14ac:dyDescent="0.25">
      <c r="A6" s="2" t="s">
        <v>34</v>
      </c>
      <c r="B6" s="2" t="s">
        <v>18</v>
      </c>
      <c r="C6" s="2" t="s">
        <v>149</v>
      </c>
      <c r="D6" s="2" t="s">
        <v>156</v>
      </c>
      <c r="E6" s="2" t="s">
        <v>30</v>
      </c>
      <c r="F6" s="2" t="s">
        <v>38</v>
      </c>
      <c r="G6" s="6">
        <v>16600000</v>
      </c>
      <c r="H6" s="5">
        <v>25</v>
      </c>
      <c r="I6" s="5" t="str">
        <f t="shared" si="0"/>
        <v>Jovem (21-25 anos)</v>
      </c>
      <c r="J6" s="2" t="s">
        <v>16</v>
      </c>
    </row>
    <row r="7" spans="1:10" hidden="1" x14ac:dyDescent="0.25">
      <c r="A7" s="2" t="s">
        <v>34</v>
      </c>
      <c r="B7" s="2" t="s">
        <v>18</v>
      </c>
      <c r="C7" s="2" t="s">
        <v>150</v>
      </c>
      <c r="D7" s="2" t="s">
        <v>70</v>
      </c>
      <c r="E7" s="2" t="s">
        <v>44</v>
      </c>
      <c r="F7" s="2" t="s">
        <v>45</v>
      </c>
      <c r="G7" s="6">
        <v>30000000</v>
      </c>
      <c r="H7" s="5">
        <v>23</v>
      </c>
      <c r="I7" s="5" t="str">
        <f t="shared" si="0"/>
        <v>Jovem (21-25 anos)</v>
      </c>
      <c r="J7" s="2" t="s">
        <v>16</v>
      </c>
    </row>
    <row r="8" spans="1:10" x14ac:dyDescent="0.25">
      <c r="A8" s="2" t="s">
        <v>34</v>
      </c>
      <c r="B8" s="2" t="s">
        <v>48</v>
      </c>
      <c r="C8" s="2" t="s">
        <v>49</v>
      </c>
      <c r="D8" s="2" t="s">
        <v>70</v>
      </c>
      <c r="E8" s="2" t="s">
        <v>51</v>
      </c>
      <c r="F8" s="2" t="s">
        <v>52</v>
      </c>
      <c r="G8" s="6">
        <v>0</v>
      </c>
      <c r="H8" s="5">
        <v>33</v>
      </c>
      <c r="I8" s="5" t="str">
        <f t="shared" si="0"/>
        <v>Veterano (31+ anos)</v>
      </c>
      <c r="J8" s="2" t="s">
        <v>53</v>
      </c>
    </row>
    <row r="9" spans="1:10" hidden="1" x14ac:dyDescent="0.25">
      <c r="A9" s="2" t="s">
        <v>34</v>
      </c>
      <c r="B9" s="2" t="s">
        <v>18</v>
      </c>
      <c r="C9" s="2" t="s">
        <v>131</v>
      </c>
      <c r="D9" s="2" t="s">
        <v>70</v>
      </c>
      <c r="E9" s="2" t="s">
        <v>132</v>
      </c>
      <c r="F9" s="2" t="s">
        <v>134</v>
      </c>
      <c r="G9" s="6">
        <v>16800000</v>
      </c>
      <c r="H9" s="5">
        <v>28</v>
      </c>
      <c r="I9" s="5" t="str">
        <f>IF(H9&lt;=20,"Muito Jovem (16-20 anos)",IF(AND(H9&gt;=21,H9&lt;=25),"Jovem (21-25 anos)",IF(AND(H9&gt;=26,H9&lt;=30),"Experiente (26-30 anos)",IF(H9&gt;31,"Veterano (31+ anos)"))))</f>
        <v>Experiente (26-30 anos)</v>
      </c>
      <c r="J9" s="2" t="s">
        <v>16</v>
      </c>
    </row>
    <row r="10" spans="1:10" hidden="1" x14ac:dyDescent="0.25">
      <c r="A10" s="2" t="s">
        <v>55</v>
      </c>
      <c r="B10" s="2" t="s">
        <v>18</v>
      </c>
      <c r="C10" s="2" t="s">
        <v>56</v>
      </c>
      <c r="D10" s="2" t="s">
        <v>70</v>
      </c>
      <c r="E10" s="2" t="s">
        <v>151</v>
      </c>
      <c r="F10" s="2" t="s">
        <v>59</v>
      </c>
      <c r="G10" s="6">
        <v>52000000</v>
      </c>
      <c r="H10" s="5">
        <v>23</v>
      </c>
      <c r="I10" s="5" t="str">
        <f t="shared" si="0"/>
        <v>Jovem (21-25 anos)</v>
      </c>
      <c r="J10" s="2" t="s">
        <v>16</v>
      </c>
    </row>
    <row r="11" spans="1:10" hidden="1" x14ac:dyDescent="0.25">
      <c r="A11" s="2" t="s">
        <v>55</v>
      </c>
      <c r="B11" s="2" t="s">
        <v>18</v>
      </c>
      <c r="C11" s="2" t="s">
        <v>62</v>
      </c>
      <c r="D11" s="2" t="s">
        <v>77</v>
      </c>
      <c r="E11" s="2" t="s">
        <v>64</v>
      </c>
      <c r="F11" s="2" t="s">
        <v>65</v>
      </c>
      <c r="G11" s="6">
        <v>0</v>
      </c>
      <c r="H11" s="5">
        <v>21</v>
      </c>
      <c r="I11" s="5" t="str">
        <f t="shared" si="0"/>
        <v>Jovem (21-25 anos)</v>
      </c>
      <c r="J11" s="2" t="s">
        <v>157</v>
      </c>
    </row>
    <row r="12" spans="1:10" x14ac:dyDescent="0.25">
      <c r="A12" s="2" t="s">
        <v>55</v>
      </c>
      <c r="B12" s="2" t="s">
        <v>48</v>
      </c>
      <c r="C12" s="2" t="s">
        <v>69</v>
      </c>
      <c r="D12" s="2" t="s">
        <v>70</v>
      </c>
      <c r="E12" s="2" t="s">
        <v>51</v>
      </c>
      <c r="F12" s="2" t="s">
        <v>72</v>
      </c>
      <c r="G12" s="6">
        <v>13000000</v>
      </c>
      <c r="H12" s="5">
        <v>32</v>
      </c>
      <c r="I12" s="5" t="str">
        <f t="shared" si="0"/>
        <v>Veterano (31+ anos)</v>
      </c>
      <c r="J12" s="2" t="s">
        <v>33</v>
      </c>
    </row>
    <row r="13" spans="1:10" hidden="1" x14ac:dyDescent="0.25">
      <c r="A13" s="2" t="s">
        <v>55</v>
      </c>
      <c r="B13" s="2" t="s">
        <v>18</v>
      </c>
      <c r="C13" s="2" t="s">
        <v>127</v>
      </c>
      <c r="D13" s="2" t="s">
        <v>156</v>
      </c>
      <c r="E13" s="2" t="s">
        <v>129</v>
      </c>
      <c r="F13" s="2" t="s">
        <v>65</v>
      </c>
      <c r="G13" s="6">
        <v>19000000</v>
      </c>
      <c r="H13" s="5">
        <v>24</v>
      </c>
      <c r="I13" s="5" t="str">
        <f t="shared" si="0"/>
        <v>Jovem (21-25 anos)</v>
      </c>
      <c r="J13" s="2" t="s">
        <v>16</v>
      </c>
    </row>
    <row r="14" spans="1:10" hidden="1" x14ac:dyDescent="0.25">
      <c r="A14" s="2" t="s">
        <v>75</v>
      </c>
      <c r="B14" s="2" t="s">
        <v>18</v>
      </c>
      <c r="C14" s="2" t="s">
        <v>76</v>
      </c>
      <c r="D14" s="2" t="s">
        <v>77</v>
      </c>
      <c r="E14" s="2" t="s">
        <v>78</v>
      </c>
      <c r="F14" s="2" t="s">
        <v>79</v>
      </c>
      <c r="G14" s="6">
        <v>58000000</v>
      </c>
      <c r="H14" s="5">
        <v>25</v>
      </c>
      <c r="I14" s="5" t="str">
        <f t="shared" si="0"/>
        <v>Jovem (21-25 anos)</v>
      </c>
      <c r="J14" s="2" t="s">
        <v>16</v>
      </c>
    </row>
    <row r="15" spans="1:10" hidden="1" x14ac:dyDescent="0.25">
      <c r="A15" s="2" t="s">
        <v>75</v>
      </c>
      <c r="B15" s="2" t="s">
        <v>18</v>
      </c>
      <c r="C15" s="2" t="s">
        <v>82</v>
      </c>
      <c r="D15" s="2" t="s">
        <v>156</v>
      </c>
      <c r="E15" s="2" t="s">
        <v>84</v>
      </c>
      <c r="F15" s="2" t="s">
        <v>85</v>
      </c>
      <c r="G15" s="6">
        <v>29000000</v>
      </c>
      <c r="H15" s="5">
        <v>25</v>
      </c>
      <c r="I15" s="5" t="str">
        <f t="shared" si="0"/>
        <v>Jovem (21-25 anos)</v>
      </c>
      <c r="J15" s="2" t="s">
        <v>16</v>
      </c>
    </row>
    <row r="16" spans="1:10" x14ac:dyDescent="0.25">
      <c r="A16" s="2" t="s">
        <v>75</v>
      </c>
      <c r="B16" s="2" t="s">
        <v>48</v>
      </c>
      <c r="C16" s="2" t="s">
        <v>88</v>
      </c>
      <c r="D16" s="2" t="s">
        <v>77</v>
      </c>
      <c r="E16" s="2" t="s">
        <v>90</v>
      </c>
      <c r="F16" s="2" t="s">
        <v>91</v>
      </c>
      <c r="G16" s="6">
        <v>31300000</v>
      </c>
      <c r="H16" s="5">
        <v>24</v>
      </c>
      <c r="I16" s="5" t="str">
        <f t="shared" si="0"/>
        <v>Jovem (21-25 anos)</v>
      </c>
      <c r="J16" s="2" t="s">
        <v>33</v>
      </c>
    </row>
    <row r="17" spans="1:10" hidden="1" x14ac:dyDescent="0.25">
      <c r="A17" s="2" t="s">
        <v>75</v>
      </c>
      <c r="B17" s="2" t="s">
        <v>18</v>
      </c>
      <c r="C17" s="2" t="s">
        <v>148</v>
      </c>
      <c r="D17" s="2" t="s">
        <v>77</v>
      </c>
      <c r="E17" s="2" t="s">
        <v>124</v>
      </c>
      <c r="F17" s="2" t="s">
        <v>153</v>
      </c>
      <c r="G17" s="6">
        <v>0</v>
      </c>
      <c r="H17" s="5">
        <v>33</v>
      </c>
      <c r="I17" s="5" t="str">
        <f t="shared" si="0"/>
        <v>Veterano (31+ anos)</v>
      </c>
      <c r="J17" s="2" t="s">
        <v>53</v>
      </c>
    </row>
    <row r="18" spans="1:10" hidden="1" x14ac:dyDescent="0.25">
      <c r="A18" s="2" t="s">
        <v>93</v>
      </c>
      <c r="B18" s="2" t="s">
        <v>18</v>
      </c>
      <c r="C18" s="2" t="s">
        <v>95</v>
      </c>
      <c r="D18" s="2" t="s">
        <v>156</v>
      </c>
      <c r="E18" s="2" t="s">
        <v>97</v>
      </c>
      <c r="F18" s="2" t="s">
        <v>98</v>
      </c>
      <c r="G18" s="6">
        <v>46300000</v>
      </c>
      <c r="H18" s="5">
        <v>26</v>
      </c>
      <c r="I18" s="5" t="str">
        <f t="shared" si="0"/>
        <v>Experiente (26-30 anos)</v>
      </c>
      <c r="J18" s="2" t="s">
        <v>16</v>
      </c>
    </row>
    <row r="19" spans="1:10" hidden="1" x14ac:dyDescent="0.25">
      <c r="A19" s="2" t="s">
        <v>93</v>
      </c>
      <c r="B19" s="2" t="s">
        <v>18</v>
      </c>
      <c r="C19" s="2" t="s">
        <v>100</v>
      </c>
      <c r="D19" s="2" t="s">
        <v>70</v>
      </c>
      <c r="E19" s="2" t="s">
        <v>90</v>
      </c>
      <c r="F19" s="2" t="s">
        <v>102</v>
      </c>
      <c r="G19" s="6">
        <v>40000000</v>
      </c>
      <c r="H19" s="5">
        <v>22</v>
      </c>
      <c r="I19" s="5" t="str">
        <f t="shared" si="0"/>
        <v>Jovem (21-25 anos)</v>
      </c>
      <c r="J19" s="2" t="s">
        <v>16</v>
      </c>
    </row>
    <row r="20" spans="1:10" x14ac:dyDescent="0.25">
      <c r="A20" s="2" t="s">
        <v>93</v>
      </c>
      <c r="B20" s="2" t="s">
        <v>48</v>
      </c>
      <c r="C20" s="2" t="s">
        <v>104</v>
      </c>
      <c r="D20" s="2" t="s">
        <v>77</v>
      </c>
      <c r="E20" s="2" t="s">
        <v>97</v>
      </c>
      <c r="F20" s="2" t="s">
        <v>154</v>
      </c>
      <c r="G20" s="6">
        <v>95000000</v>
      </c>
      <c r="H20" s="5">
        <v>30</v>
      </c>
      <c r="I20" s="5" t="str">
        <f t="shared" si="0"/>
        <v>Experiente (26-30 anos)</v>
      </c>
      <c r="J20" s="2" t="s">
        <v>33</v>
      </c>
    </row>
    <row r="21" spans="1:10" hidden="1" x14ac:dyDescent="0.25">
      <c r="A21" s="2" t="s">
        <v>93</v>
      </c>
      <c r="B21" s="2" t="s">
        <v>18</v>
      </c>
      <c r="C21" s="2" t="s">
        <v>136</v>
      </c>
      <c r="D21" s="2" t="s">
        <v>77</v>
      </c>
      <c r="E21" s="2" t="s">
        <v>152</v>
      </c>
      <c r="F21" s="2" t="s">
        <v>139</v>
      </c>
      <c r="G21" s="6">
        <v>47500000</v>
      </c>
      <c r="H21" s="5">
        <v>22</v>
      </c>
      <c r="I21" s="5" t="str">
        <f t="shared" si="0"/>
        <v>Jovem (21-25 anos)</v>
      </c>
      <c r="J21" s="2" t="s">
        <v>16</v>
      </c>
    </row>
    <row r="22" spans="1:10" hidden="1" x14ac:dyDescent="0.25">
      <c r="A22" s="2" t="s">
        <v>109</v>
      </c>
      <c r="B22" s="2" t="s">
        <v>18</v>
      </c>
      <c r="C22" s="2" t="s">
        <v>110</v>
      </c>
      <c r="D22" s="2" t="s">
        <v>77</v>
      </c>
      <c r="E22" s="2" t="s">
        <v>97</v>
      </c>
      <c r="F22" s="2" t="s">
        <v>112</v>
      </c>
      <c r="G22" s="6">
        <v>65000000</v>
      </c>
      <c r="H22" s="5">
        <v>26</v>
      </c>
      <c r="I22" s="5" t="str">
        <f t="shared" si="0"/>
        <v>Experiente (26-30 anos)</v>
      </c>
      <c r="J22" s="2" t="s">
        <v>16</v>
      </c>
    </row>
    <row r="23" spans="1:10" hidden="1" x14ac:dyDescent="0.25">
      <c r="A23" s="2" t="s">
        <v>109</v>
      </c>
      <c r="B23" s="2" t="s">
        <v>18</v>
      </c>
      <c r="C23" s="2" t="s">
        <v>114</v>
      </c>
      <c r="D23" s="2" t="s">
        <v>156</v>
      </c>
      <c r="E23" s="2" t="s">
        <v>97</v>
      </c>
      <c r="F23" s="2" t="s">
        <v>117</v>
      </c>
      <c r="G23" s="6">
        <v>41000000</v>
      </c>
      <c r="H23" s="5">
        <v>18</v>
      </c>
      <c r="I23" s="5" t="str">
        <f t="shared" si="0"/>
        <v>Muito Jovem (16-20 anos)</v>
      </c>
      <c r="J23" s="2" t="s">
        <v>16</v>
      </c>
    </row>
    <row r="24" spans="1:10" x14ac:dyDescent="0.25">
      <c r="A24" s="2" t="s">
        <v>109</v>
      </c>
      <c r="B24" s="2" t="s">
        <v>48</v>
      </c>
      <c r="C24" s="2" t="s">
        <v>149</v>
      </c>
      <c r="D24" s="2" t="s">
        <v>156</v>
      </c>
      <c r="E24" s="2" t="s">
        <v>30</v>
      </c>
      <c r="F24" s="2" t="s">
        <v>155</v>
      </c>
      <c r="G24" s="6">
        <v>13500000</v>
      </c>
      <c r="H24" s="5">
        <v>29</v>
      </c>
      <c r="I24" s="5" t="str">
        <f t="shared" si="0"/>
        <v>Experiente (26-30 anos)</v>
      </c>
      <c r="J24" s="2" t="s">
        <v>33</v>
      </c>
    </row>
  </sheetData>
  <autoFilter ref="A2:J24" xr:uid="{121A8764-E71B-430A-8F79-2AFBC43701E9}">
    <filterColumn colId="1">
      <filters>
        <filter val="Saída"/>
      </filters>
    </filterColumn>
  </autoFilter>
  <sortState xmlns:xlrd2="http://schemas.microsoft.com/office/spreadsheetml/2017/richdata2" ref="A3:J25">
    <sortCondition ref="A3:A25"/>
  </sortState>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7059-D724-41CB-823A-E2EAAB06413B}">
  <sheetPr>
    <tabColor theme="6" tint="-0.249977111117893"/>
  </sheetPr>
  <dimension ref="A4:BR47"/>
  <sheetViews>
    <sheetView topLeftCell="A64" zoomScale="77" zoomScaleNormal="77" workbookViewId="0">
      <selection activeCell="BQ45" sqref="BQ45"/>
    </sheetView>
  </sheetViews>
  <sheetFormatPr defaultRowHeight="15" x14ac:dyDescent="0.25"/>
  <cols>
    <col min="1" max="1" width="25.5703125" bestFit="1" customWidth="1"/>
    <col min="2" max="2" width="16" bestFit="1" customWidth="1"/>
    <col min="3" max="3" width="21.85546875" bestFit="1" customWidth="1"/>
    <col min="4" max="4" width="16.28515625" bestFit="1" customWidth="1"/>
    <col min="5" max="5" width="14.140625" customWidth="1"/>
    <col min="6" max="6" width="17.7109375" bestFit="1" customWidth="1"/>
    <col min="7" max="7" width="22.5703125" bestFit="1" customWidth="1"/>
    <col min="8" max="8" width="25.5703125" bestFit="1" customWidth="1"/>
    <col min="9" max="9" width="32" bestFit="1" customWidth="1"/>
    <col min="15" max="15" width="31.28515625" bestFit="1" customWidth="1"/>
    <col min="16" max="16" width="26.28515625" bestFit="1" customWidth="1"/>
    <col min="17" max="17" width="14.85546875" bestFit="1" customWidth="1"/>
    <col min="18" max="18" width="14.28515625" bestFit="1" customWidth="1"/>
    <col min="19" max="20" width="24.140625" bestFit="1" customWidth="1"/>
    <col min="25" max="25" width="24" bestFit="1" customWidth="1"/>
    <col min="26" max="26" width="26.28515625" bestFit="1" customWidth="1"/>
    <col min="27" max="27" width="10.7109375" bestFit="1" customWidth="1"/>
    <col min="28" max="28" width="24" bestFit="1" customWidth="1"/>
    <col min="29" max="29" width="24.140625" bestFit="1" customWidth="1"/>
    <col min="37" max="37" width="28.140625" bestFit="1" customWidth="1"/>
    <col min="38" max="38" width="25.28515625" bestFit="1" customWidth="1"/>
    <col min="39" max="39" width="11" bestFit="1" customWidth="1"/>
    <col min="40" max="40" width="28.7109375" bestFit="1" customWidth="1"/>
    <col min="41" max="41" width="27.5703125" bestFit="1" customWidth="1"/>
    <col min="53" max="53" width="24.42578125" bestFit="1" customWidth="1"/>
    <col min="54" max="54" width="26.28515625" bestFit="1" customWidth="1"/>
    <col min="55" max="55" width="24.140625" bestFit="1" customWidth="1"/>
    <col min="56" max="56" width="12.7109375" customWidth="1"/>
    <col min="57" max="57" width="14.28515625" bestFit="1" customWidth="1"/>
    <col min="58" max="58" width="34.7109375" bestFit="1" customWidth="1"/>
    <col min="59" max="59" width="17.7109375" bestFit="1" customWidth="1"/>
    <col min="60" max="60" width="20.42578125" bestFit="1" customWidth="1"/>
    <col min="61" max="61" width="15.85546875" bestFit="1" customWidth="1"/>
    <col min="62" max="62" width="20.42578125" bestFit="1" customWidth="1"/>
    <col min="63" max="63" width="19.42578125" bestFit="1" customWidth="1"/>
    <col min="64" max="64" width="25.85546875" bestFit="1" customWidth="1"/>
    <col min="65" max="65" width="11.28515625" customWidth="1"/>
    <col min="66" max="66" width="24.140625" bestFit="1" customWidth="1"/>
    <col min="67" max="67" width="11" bestFit="1" customWidth="1"/>
    <col min="68" max="68" width="27.140625" bestFit="1" customWidth="1"/>
    <col min="69" max="69" width="11.85546875" customWidth="1"/>
    <col min="70" max="70" width="22.5703125" bestFit="1" customWidth="1"/>
    <col min="71" max="72" width="18" bestFit="1" customWidth="1"/>
    <col min="73" max="73" width="14.28515625" bestFit="1" customWidth="1"/>
    <col min="74" max="74" width="11" bestFit="1" customWidth="1"/>
  </cols>
  <sheetData>
    <row r="4" spans="1:68" x14ac:dyDescent="0.25">
      <c r="C4" s="7" t="s">
        <v>158</v>
      </c>
      <c r="D4" s="7" t="s">
        <v>159</v>
      </c>
      <c r="E4" s="7" t="s">
        <v>160</v>
      </c>
      <c r="F4" s="7" t="s">
        <v>161</v>
      </c>
      <c r="G4" s="7" t="s">
        <v>162</v>
      </c>
      <c r="H4" s="7" t="s">
        <v>163</v>
      </c>
      <c r="I4" s="7" t="s">
        <v>187</v>
      </c>
    </row>
    <row r="5" spans="1:68" x14ac:dyDescent="0.25">
      <c r="C5" s="2">
        <f>COUNTA('Dados Tratados'!A3:A24)</f>
        <v>22</v>
      </c>
      <c r="D5" s="2">
        <f>COUNTIF('Dados Tratados'!B:B, "Entrada")</f>
        <v>16</v>
      </c>
      <c r="E5" s="2">
        <f>COUNTIF('Dados Tratados'!B:B, "Saída")</f>
        <v>6</v>
      </c>
      <c r="F5" s="2">
        <f>COUNTA(_xlfn.UNIQUE('Dados Tratados'!C3:C24, ,))</f>
        <v>20</v>
      </c>
      <c r="G5" s="2">
        <f>COUNTA(_xlfn.UNIQUE('Dados Tratados'!E3:E24, ,))</f>
        <v>14</v>
      </c>
      <c r="H5" s="5">
        <f>AVERAGE('Dados Tratados'!H3:H24)</f>
        <v>25.454545454545453</v>
      </c>
      <c r="I5" s="20">
        <f>(C22/D22)*100</f>
        <v>24.529331514324692</v>
      </c>
    </row>
    <row r="14" spans="1:68" x14ac:dyDescent="0.25">
      <c r="A14" s="8" t="s">
        <v>167</v>
      </c>
      <c r="B14" s="8" t="s">
        <v>166</v>
      </c>
      <c r="O14" s="10" t="s">
        <v>170</v>
      </c>
      <c r="P14" s="10" t="s">
        <v>171</v>
      </c>
      <c r="Y14" s="10" t="s">
        <v>175</v>
      </c>
      <c r="Z14" s="10" t="s">
        <v>171</v>
      </c>
      <c r="AK14" s="10" t="s">
        <v>182</v>
      </c>
      <c r="AL14" s="8" t="s">
        <v>175</v>
      </c>
      <c r="AN14" s="10" t="s">
        <v>184</v>
      </c>
      <c r="AO14" s="10" t="s">
        <v>175</v>
      </c>
      <c r="BA14" s="2"/>
      <c r="BB14" s="10" t="s">
        <v>171</v>
      </c>
      <c r="BC14" s="2"/>
      <c r="BE14" s="11" t="s">
        <v>169</v>
      </c>
      <c r="BF14" s="11" t="s">
        <v>172</v>
      </c>
    </row>
    <row r="15" spans="1:68" x14ac:dyDescent="0.25">
      <c r="A15" s="10" t="s">
        <v>165</v>
      </c>
      <c r="B15" s="2" t="s">
        <v>18</v>
      </c>
      <c r="C15" s="2" t="s">
        <v>48</v>
      </c>
      <c r="D15" s="2" t="s">
        <v>164</v>
      </c>
      <c r="F15" s="11" t="s">
        <v>165</v>
      </c>
      <c r="G15" s="11" t="s">
        <v>168</v>
      </c>
      <c r="O15" s="10" t="s">
        <v>169</v>
      </c>
      <c r="P15" s="2" t="s">
        <v>18</v>
      </c>
      <c r="R15" s="11" t="s">
        <v>169</v>
      </c>
      <c r="S15" s="11" t="s">
        <v>172</v>
      </c>
      <c r="Y15" s="10" t="s">
        <v>173</v>
      </c>
      <c r="Z15" s="2" t="s">
        <v>18</v>
      </c>
      <c r="AB15" s="11" t="s">
        <v>173</v>
      </c>
      <c r="AC15" s="11" t="s">
        <v>180</v>
      </c>
      <c r="AK15" s="10" t="s">
        <v>181</v>
      </c>
      <c r="AL15" s="2" t="s">
        <v>18</v>
      </c>
      <c r="AN15" s="10" t="s">
        <v>183</v>
      </c>
      <c r="AO15" s="2" t="s">
        <v>18</v>
      </c>
      <c r="BA15" s="2"/>
      <c r="BB15" s="2" t="s">
        <v>48</v>
      </c>
      <c r="BC15" s="2"/>
      <c r="BE15" s="2" t="s">
        <v>77</v>
      </c>
      <c r="BF15" s="13">
        <v>0.70199999999999996</v>
      </c>
    </row>
    <row r="16" spans="1:68" ht="15.75" x14ac:dyDescent="0.25">
      <c r="A16" s="2" t="s">
        <v>9</v>
      </c>
      <c r="B16" s="6">
        <v>92000000</v>
      </c>
      <c r="C16" s="6">
        <v>27000000</v>
      </c>
      <c r="D16" s="6">
        <v>119000000</v>
      </c>
      <c r="F16" s="2" t="s">
        <v>9</v>
      </c>
      <c r="G16" s="6">
        <f t="shared" ref="G16:G22" si="0">C16-B16</f>
        <v>-65000000</v>
      </c>
      <c r="O16" s="2" t="s">
        <v>156</v>
      </c>
      <c r="P16" s="6">
        <v>213900000</v>
      </c>
      <c r="R16" s="2" t="s">
        <v>156</v>
      </c>
      <c r="S16" s="13">
        <f>P16/$P$19</f>
        <v>0.3866594360086768</v>
      </c>
      <c r="Y16" s="2" t="s">
        <v>179</v>
      </c>
      <c r="Z16" s="2">
        <v>1</v>
      </c>
      <c r="AB16" s="2" t="s">
        <v>179</v>
      </c>
      <c r="AC16" s="16">
        <f>Z16/$Z$20</f>
        <v>6.25E-2</v>
      </c>
      <c r="AK16" s="2" t="s">
        <v>13</v>
      </c>
      <c r="AL16" s="2">
        <v>1</v>
      </c>
      <c r="AN16" s="2" t="s">
        <v>59</v>
      </c>
      <c r="AO16" s="2">
        <v>1</v>
      </c>
      <c r="BA16" s="10" t="s">
        <v>185</v>
      </c>
      <c r="BB16" s="2" t="s">
        <v>186</v>
      </c>
      <c r="BC16" s="2" t="s">
        <v>172</v>
      </c>
      <c r="BE16" s="2" t="s">
        <v>156</v>
      </c>
      <c r="BF16" s="13">
        <v>0.22500000000000001</v>
      </c>
      <c r="BL16" s="22" t="s">
        <v>188</v>
      </c>
      <c r="BN16" s="22" t="s">
        <v>189</v>
      </c>
      <c r="BP16" s="22" t="s">
        <v>190</v>
      </c>
    </row>
    <row r="17" spans="1:70" x14ac:dyDescent="0.25">
      <c r="A17" s="2" t="s">
        <v>34</v>
      </c>
      <c r="B17" s="6">
        <v>63400000</v>
      </c>
      <c r="C17" s="6">
        <v>0</v>
      </c>
      <c r="D17" s="6">
        <v>63400000</v>
      </c>
      <c r="F17" s="2" t="s">
        <v>34</v>
      </c>
      <c r="G17" s="6">
        <f t="shared" si="0"/>
        <v>-63400000</v>
      </c>
      <c r="O17" s="2" t="s">
        <v>77</v>
      </c>
      <c r="P17" s="6">
        <v>200500000</v>
      </c>
      <c r="R17" s="2" t="s">
        <v>77</v>
      </c>
      <c r="S17" s="13">
        <f>P17/$P$19</f>
        <v>0.36243673174258856</v>
      </c>
      <c r="Y17" s="2" t="s">
        <v>178</v>
      </c>
      <c r="Z17" s="2">
        <v>1</v>
      </c>
      <c r="AB17" s="2" t="s">
        <v>178</v>
      </c>
      <c r="AC17" s="16">
        <f>Z17/$Z$20</f>
        <v>6.25E-2</v>
      </c>
      <c r="AK17" s="2" t="s">
        <v>129</v>
      </c>
      <c r="AL17" s="2">
        <v>1</v>
      </c>
      <c r="AN17" s="2" t="s">
        <v>151</v>
      </c>
      <c r="AO17" s="2">
        <v>1</v>
      </c>
      <c r="BA17" s="2" t="s">
        <v>77</v>
      </c>
      <c r="BB17" s="6">
        <v>126300000</v>
      </c>
      <c r="BC17" s="13">
        <v>0.70244716351501668</v>
      </c>
      <c r="BE17" s="2" t="s">
        <v>70</v>
      </c>
      <c r="BF17" s="13">
        <v>7.1999999999999995E-2</v>
      </c>
      <c r="BL17" s="23">
        <v>553200000</v>
      </c>
      <c r="BN17" s="23">
        <v>179800000</v>
      </c>
      <c r="BP17" s="6">
        <v>-373400000</v>
      </c>
    </row>
    <row r="18" spans="1:70" x14ac:dyDescent="0.25">
      <c r="A18" s="2" t="s">
        <v>55</v>
      </c>
      <c r="B18" s="6">
        <v>71000000</v>
      </c>
      <c r="C18" s="6">
        <v>13000000</v>
      </c>
      <c r="D18" s="6">
        <v>84000000</v>
      </c>
      <c r="F18" s="2" t="s">
        <v>55</v>
      </c>
      <c r="G18" s="6">
        <f t="shared" si="0"/>
        <v>-58000000</v>
      </c>
      <c r="O18" s="2" t="s">
        <v>70</v>
      </c>
      <c r="P18" s="6">
        <v>138800000</v>
      </c>
      <c r="R18" s="2" t="s">
        <v>70</v>
      </c>
      <c r="S18" s="13">
        <f>P18/$P$19</f>
        <v>0.25090383224873464</v>
      </c>
      <c r="Y18" s="2" t="s">
        <v>177</v>
      </c>
      <c r="Z18" s="2">
        <v>3</v>
      </c>
      <c r="AB18" s="2" t="s">
        <v>177</v>
      </c>
      <c r="AC18" s="16">
        <f>Z18/$Z$20</f>
        <v>0.1875</v>
      </c>
      <c r="AK18" s="2" t="s">
        <v>151</v>
      </c>
      <c r="AL18" s="2">
        <v>1</v>
      </c>
      <c r="AN18" s="2" t="s">
        <v>112</v>
      </c>
      <c r="AO18" s="2">
        <v>1</v>
      </c>
      <c r="BA18" s="2" t="s">
        <v>104</v>
      </c>
      <c r="BB18" s="6">
        <v>95000000</v>
      </c>
      <c r="BC18" s="13">
        <v>0.52836484983314791</v>
      </c>
      <c r="BE18" s="12" t="s">
        <v>164</v>
      </c>
      <c r="BF18" s="14">
        <v>1</v>
      </c>
    </row>
    <row r="19" spans="1:70" x14ac:dyDescent="0.25">
      <c r="A19" s="2" t="s">
        <v>75</v>
      </c>
      <c r="B19" s="6">
        <v>87000000</v>
      </c>
      <c r="C19" s="6">
        <v>31300000</v>
      </c>
      <c r="D19" s="6">
        <v>118300000</v>
      </c>
      <c r="F19" s="2" t="s">
        <v>75</v>
      </c>
      <c r="G19" s="6">
        <f t="shared" si="0"/>
        <v>-55700000</v>
      </c>
      <c r="O19" t="s">
        <v>164</v>
      </c>
      <c r="P19" s="6">
        <v>553200000</v>
      </c>
      <c r="R19" s="12" t="s">
        <v>164</v>
      </c>
      <c r="S19" s="14">
        <f>P19/$P$19</f>
        <v>1</v>
      </c>
      <c r="Y19" s="2" t="s">
        <v>176</v>
      </c>
      <c r="Z19" s="2">
        <v>11</v>
      </c>
      <c r="AB19" s="2" t="s">
        <v>176</v>
      </c>
      <c r="AC19" s="16">
        <f>Z19/$Z$20</f>
        <v>0.6875</v>
      </c>
      <c r="AK19" s="2" t="s">
        <v>124</v>
      </c>
      <c r="AL19" s="2">
        <v>1</v>
      </c>
      <c r="AN19" s="2" t="s">
        <v>97</v>
      </c>
      <c r="AO19" s="2">
        <v>1</v>
      </c>
      <c r="BA19" s="2" t="s">
        <v>88</v>
      </c>
      <c r="BB19" s="6">
        <v>31300000</v>
      </c>
      <c r="BC19" s="13">
        <v>0.17408231368186874</v>
      </c>
    </row>
    <row r="20" spans="1:70" ht="15.75" x14ac:dyDescent="0.25">
      <c r="A20" s="2" t="s">
        <v>93</v>
      </c>
      <c r="B20" s="6">
        <v>133800000</v>
      </c>
      <c r="C20" s="6">
        <v>95000000</v>
      </c>
      <c r="D20" s="6">
        <v>228800000</v>
      </c>
      <c r="F20" s="2" t="s">
        <v>93</v>
      </c>
      <c r="G20" s="6">
        <f t="shared" si="0"/>
        <v>-38800000</v>
      </c>
      <c r="Y20" s="2" t="s">
        <v>164</v>
      </c>
      <c r="Z20" s="2">
        <v>16</v>
      </c>
      <c r="AB20" s="12" t="s">
        <v>164</v>
      </c>
      <c r="AC20" s="15">
        <f>Z20/$Z$20</f>
        <v>1</v>
      </c>
      <c r="AK20" s="2" t="s">
        <v>132</v>
      </c>
      <c r="AL20" s="2">
        <v>1</v>
      </c>
      <c r="AN20" s="2" t="s">
        <v>85</v>
      </c>
      <c r="AO20" s="2">
        <v>1</v>
      </c>
      <c r="BA20" s="2" t="s">
        <v>156</v>
      </c>
      <c r="BB20" s="6">
        <v>40500000</v>
      </c>
      <c r="BC20" s="13">
        <v>0.22525027808676307</v>
      </c>
      <c r="BL20" s="22" t="s">
        <v>191</v>
      </c>
      <c r="BN20" s="22" t="s">
        <v>192</v>
      </c>
      <c r="BP20" s="22" t="s">
        <v>193</v>
      </c>
    </row>
    <row r="21" spans="1:70" x14ac:dyDescent="0.25">
      <c r="A21" s="2" t="s">
        <v>109</v>
      </c>
      <c r="B21" s="6">
        <v>106000000</v>
      </c>
      <c r="C21" s="6">
        <v>13500000</v>
      </c>
      <c r="D21" s="6">
        <v>119500000</v>
      </c>
      <c r="F21" s="2" t="s">
        <v>109</v>
      </c>
      <c r="G21" s="6">
        <f t="shared" si="0"/>
        <v>-92500000</v>
      </c>
      <c r="AK21" s="2" t="s">
        <v>44</v>
      </c>
      <c r="AL21" s="2">
        <v>1</v>
      </c>
      <c r="AN21" s="2" t="s">
        <v>84</v>
      </c>
      <c r="AO21" s="2">
        <v>1</v>
      </c>
      <c r="BA21" s="2" t="s">
        <v>28</v>
      </c>
      <c r="BB21" s="6">
        <v>27000000</v>
      </c>
      <c r="BC21" s="13">
        <v>0.15016685205784205</v>
      </c>
      <c r="BL21" s="13">
        <v>0.3866594360086768</v>
      </c>
      <c r="BN21" s="24">
        <v>0.36243673174258856</v>
      </c>
      <c r="BP21" s="24">
        <v>0.25090383224873464</v>
      </c>
    </row>
    <row r="22" spans="1:70" x14ac:dyDescent="0.25">
      <c r="A22" s="9" t="s">
        <v>164</v>
      </c>
      <c r="B22" s="6">
        <v>553200000</v>
      </c>
      <c r="C22" s="6">
        <v>179800000</v>
      </c>
      <c r="D22" s="6">
        <v>733000000</v>
      </c>
      <c r="F22" s="12" t="s">
        <v>164</v>
      </c>
      <c r="G22" s="6">
        <f t="shared" si="0"/>
        <v>-373400000</v>
      </c>
      <c r="AK22" s="2" t="s">
        <v>84</v>
      </c>
      <c r="AL22" s="2">
        <v>1</v>
      </c>
      <c r="AN22" s="2" t="s">
        <v>79</v>
      </c>
      <c r="AO22" s="2">
        <v>1</v>
      </c>
      <c r="BA22" s="2" t="s">
        <v>149</v>
      </c>
      <c r="BB22" s="6">
        <v>13500000</v>
      </c>
      <c r="BC22" s="13">
        <v>7.5083426028921027E-2</v>
      </c>
    </row>
    <row r="23" spans="1:70" x14ac:dyDescent="0.25">
      <c r="AK23" s="2" t="s">
        <v>30</v>
      </c>
      <c r="AL23" s="2">
        <v>1</v>
      </c>
      <c r="AN23" s="2" t="s">
        <v>78</v>
      </c>
      <c r="AO23" s="2">
        <v>1</v>
      </c>
      <c r="BA23" s="2" t="s">
        <v>70</v>
      </c>
      <c r="BB23" s="6">
        <v>13000000</v>
      </c>
      <c r="BC23" s="13">
        <v>7.2302558398220251E-2</v>
      </c>
    </row>
    <row r="24" spans="1:70" ht="15.75" x14ac:dyDescent="0.25">
      <c r="AK24" s="2" t="s">
        <v>152</v>
      </c>
      <c r="AL24" s="2">
        <v>1</v>
      </c>
      <c r="AN24" s="2" t="s">
        <v>153</v>
      </c>
      <c r="AO24" s="2">
        <v>1</v>
      </c>
      <c r="BA24" s="2" t="s">
        <v>69</v>
      </c>
      <c r="BB24" s="6">
        <v>13000000</v>
      </c>
      <c r="BC24" s="13">
        <v>7.2302558398220251E-2</v>
      </c>
      <c r="BL24" s="22" t="s">
        <v>196</v>
      </c>
      <c r="BN24" s="22" t="s">
        <v>197</v>
      </c>
      <c r="BP24" s="22" t="s">
        <v>198</v>
      </c>
      <c r="BR24" s="25"/>
    </row>
    <row r="25" spans="1:70" x14ac:dyDescent="0.25">
      <c r="AK25" s="2" t="s">
        <v>78</v>
      </c>
      <c r="AL25" s="2">
        <v>1</v>
      </c>
      <c r="AN25" s="2" t="s">
        <v>124</v>
      </c>
      <c r="AO25" s="2">
        <v>1</v>
      </c>
      <c r="BA25" s="2" t="s">
        <v>49</v>
      </c>
      <c r="BB25" s="6">
        <v>0</v>
      </c>
      <c r="BC25" s="13">
        <v>0</v>
      </c>
      <c r="BH25" s="2"/>
      <c r="BI25" s="6"/>
      <c r="BL25" s="16">
        <v>0.6875</v>
      </c>
      <c r="BN25" s="16">
        <v>0.1875</v>
      </c>
      <c r="BP25" s="16">
        <v>6.25E-2</v>
      </c>
    </row>
    <row r="26" spans="1:70" x14ac:dyDescent="0.25">
      <c r="AK26" s="2" t="s">
        <v>64</v>
      </c>
      <c r="AL26" s="2">
        <v>1</v>
      </c>
      <c r="AN26" s="2" t="s">
        <v>65</v>
      </c>
      <c r="AO26" s="2">
        <v>2</v>
      </c>
      <c r="BA26" s="9" t="s">
        <v>164</v>
      </c>
      <c r="BB26" s="6">
        <v>179800000</v>
      </c>
      <c r="BC26" s="13">
        <v>1</v>
      </c>
    </row>
    <row r="27" spans="1:70" x14ac:dyDescent="0.25">
      <c r="AK27" s="2" t="s">
        <v>90</v>
      </c>
      <c r="AL27" s="2">
        <v>2</v>
      </c>
      <c r="AN27" s="2" t="s">
        <v>64</v>
      </c>
      <c r="AO27" s="2">
        <v>1</v>
      </c>
    </row>
    <row r="28" spans="1:70" ht="15.75" x14ac:dyDescent="0.25">
      <c r="AK28" s="2" t="s">
        <v>97</v>
      </c>
      <c r="AL28" s="2">
        <v>3</v>
      </c>
      <c r="AN28" s="2" t="s">
        <v>129</v>
      </c>
      <c r="AO28" s="2">
        <v>1</v>
      </c>
      <c r="BL28" s="26" t="s">
        <v>194</v>
      </c>
      <c r="BM28" s="21"/>
      <c r="BN28" s="26" t="s">
        <v>195</v>
      </c>
      <c r="BO28" s="21"/>
      <c r="BP28" s="26" t="s">
        <v>202</v>
      </c>
    </row>
    <row r="29" spans="1:70" x14ac:dyDescent="0.25">
      <c r="AK29" s="9" t="s">
        <v>164</v>
      </c>
      <c r="AL29" s="2">
        <v>16</v>
      </c>
      <c r="AN29" s="2" t="s">
        <v>117</v>
      </c>
      <c r="AO29" s="2">
        <v>1</v>
      </c>
      <c r="BL29" s="2">
        <v>3</v>
      </c>
      <c r="BM29" s="2"/>
      <c r="BN29" s="2">
        <v>2</v>
      </c>
      <c r="BO29" s="2"/>
      <c r="BP29" s="2">
        <v>13</v>
      </c>
    </row>
    <row r="30" spans="1:70" x14ac:dyDescent="0.25">
      <c r="AN30" s="2" t="s">
        <v>97</v>
      </c>
      <c r="AO30" s="2">
        <v>1</v>
      </c>
    </row>
    <row r="31" spans="1:70" x14ac:dyDescent="0.25">
      <c r="AN31" s="2" t="s">
        <v>98</v>
      </c>
      <c r="AO31" s="2">
        <v>1</v>
      </c>
    </row>
    <row r="32" spans="1:70" ht="15.75" x14ac:dyDescent="0.25">
      <c r="AN32" s="2" t="s">
        <v>97</v>
      </c>
      <c r="AO32" s="2">
        <v>1</v>
      </c>
      <c r="BL32" s="26" t="s">
        <v>200</v>
      </c>
      <c r="BN32" s="26" t="s">
        <v>199</v>
      </c>
      <c r="BP32" s="26" t="s">
        <v>201</v>
      </c>
    </row>
    <row r="33" spans="40:68" x14ac:dyDescent="0.25">
      <c r="AN33" s="2" t="s">
        <v>14</v>
      </c>
      <c r="AO33" s="2">
        <v>1</v>
      </c>
      <c r="BL33" s="13">
        <v>0.70199999999999996</v>
      </c>
      <c r="BN33" s="13">
        <v>0.22500000000000001</v>
      </c>
      <c r="BP33" s="13">
        <v>7.1999999999999995E-2</v>
      </c>
    </row>
    <row r="34" spans="40:68" x14ac:dyDescent="0.25">
      <c r="AN34" s="2" t="s">
        <v>13</v>
      </c>
      <c r="AO34" s="2">
        <v>1</v>
      </c>
    </row>
    <row r="35" spans="40:68" x14ac:dyDescent="0.25">
      <c r="AN35" s="2" t="s">
        <v>139</v>
      </c>
      <c r="AO35" s="2">
        <v>1</v>
      </c>
    </row>
    <row r="36" spans="40:68" x14ac:dyDescent="0.25">
      <c r="AN36" s="2" t="s">
        <v>152</v>
      </c>
      <c r="AO36" s="2">
        <v>1</v>
      </c>
    </row>
    <row r="37" spans="40:68" x14ac:dyDescent="0.25">
      <c r="AN37" s="2" t="s">
        <v>22</v>
      </c>
      <c r="AO37" s="2">
        <v>1</v>
      </c>
    </row>
    <row r="38" spans="40:68" x14ac:dyDescent="0.25">
      <c r="AN38" s="2" t="s">
        <v>90</v>
      </c>
      <c r="AO38" s="2">
        <v>1</v>
      </c>
    </row>
    <row r="39" spans="40:68" x14ac:dyDescent="0.25">
      <c r="AN39" s="2" t="s">
        <v>45</v>
      </c>
      <c r="AO39" s="2">
        <v>1</v>
      </c>
    </row>
    <row r="40" spans="40:68" x14ac:dyDescent="0.25">
      <c r="AN40" s="2" t="s">
        <v>44</v>
      </c>
      <c r="AO40" s="2">
        <v>1</v>
      </c>
    </row>
    <row r="41" spans="40:68" x14ac:dyDescent="0.25">
      <c r="AN41" s="2" t="s">
        <v>38</v>
      </c>
      <c r="AO41" s="2">
        <v>1</v>
      </c>
    </row>
    <row r="42" spans="40:68" x14ac:dyDescent="0.25">
      <c r="AN42" s="2" t="s">
        <v>30</v>
      </c>
      <c r="AO42" s="2">
        <v>1</v>
      </c>
    </row>
    <row r="43" spans="40:68" x14ac:dyDescent="0.25">
      <c r="AN43" s="2" t="s">
        <v>102</v>
      </c>
      <c r="AO43" s="2">
        <v>1</v>
      </c>
    </row>
    <row r="44" spans="40:68" x14ac:dyDescent="0.25">
      <c r="AN44" s="2" t="s">
        <v>90</v>
      </c>
      <c r="AO44" s="2">
        <v>1</v>
      </c>
    </row>
    <row r="45" spans="40:68" x14ac:dyDescent="0.25">
      <c r="AN45" s="2" t="s">
        <v>134</v>
      </c>
      <c r="AO45" s="2">
        <v>1</v>
      </c>
    </row>
    <row r="46" spans="40:68" x14ac:dyDescent="0.25">
      <c r="AN46" s="2" t="s">
        <v>132</v>
      </c>
      <c r="AO46" s="2">
        <v>1</v>
      </c>
    </row>
    <row r="47" spans="40:68" x14ac:dyDescent="0.25">
      <c r="AN47" s="2" t="s">
        <v>164</v>
      </c>
      <c r="AO47" s="2">
        <v>16</v>
      </c>
    </row>
  </sheetData>
  <pageMargins left="0.511811024" right="0.511811024" top="0.78740157499999996" bottom="0.78740157499999996" header="0.31496062000000002" footer="0.31496062000000002"/>
  <pageSetup paperSize="9" orientation="portrait" horizontalDpi="300" verticalDpi="300"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5432-3B5D-4EC2-9644-5CAA892A13A9}">
  <sheetPr>
    <tabColor theme="1"/>
  </sheetPr>
  <dimension ref="F103:G110"/>
  <sheetViews>
    <sheetView showGridLines="0" topLeftCell="A8" workbookViewId="0">
      <selection activeCell="I89" sqref="I89"/>
    </sheetView>
  </sheetViews>
  <sheetFormatPr defaultRowHeight="15" x14ac:dyDescent="0.25"/>
  <cols>
    <col min="6" max="6" width="20.42578125" bestFit="1" customWidth="1"/>
    <col min="7" max="7" width="15.85546875" bestFit="1" customWidth="1"/>
  </cols>
  <sheetData>
    <row r="103" spans="6:7" x14ac:dyDescent="0.25">
      <c r="F103" s="17" t="s">
        <v>185</v>
      </c>
      <c r="G103" s="17" t="s">
        <v>186</v>
      </c>
    </row>
    <row r="104" spans="6:7" x14ac:dyDescent="0.25">
      <c r="F104" s="2" t="s">
        <v>69</v>
      </c>
      <c r="G104" s="6">
        <v>13000000</v>
      </c>
    </row>
    <row r="105" spans="6:7" x14ac:dyDescent="0.25">
      <c r="F105" s="2" t="s">
        <v>149</v>
      </c>
      <c r="G105" s="6">
        <v>13500000</v>
      </c>
    </row>
    <row r="106" spans="6:7" x14ac:dyDescent="0.25">
      <c r="F106" s="2" t="s">
        <v>28</v>
      </c>
      <c r="G106" s="6">
        <v>27000000</v>
      </c>
    </row>
    <row r="107" spans="6:7" x14ac:dyDescent="0.25">
      <c r="F107" s="2" t="s">
        <v>88</v>
      </c>
      <c r="G107" s="6">
        <v>31300000</v>
      </c>
    </row>
    <row r="108" spans="6:7" x14ac:dyDescent="0.25">
      <c r="F108" s="2" t="s">
        <v>104</v>
      </c>
      <c r="G108" s="6">
        <v>95000000</v>
      </c>
    </row>
    <row r="110" spans="6:7" x14ac:dyDescent="0.25">
      <c r="F110" s="18"/>
      <c r="G110" s="19"/>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Apresentação</vt:lpstr>
      <vt:lpstr>Dados Brutos</vt:lpstr>
      <vt:lpstr>Dados Tratados</vt:lpstr>
      <vt:lpstr>Análises</vt:lpstr>
      <vt:lpstr>Anotações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Kaike Mendes</cp:lastModifiedBy>
  <dcterms:created xsi:type="dcterms:W3CDTF">2026-05-07T12:56:16Z</dcterms:created>
  <dcterms:modified xsi:type="dcterms:W3CDTF">2026-07-31T23:18:22Z</dcterms:modified>
</cp:coreProperties>
</file>