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8_{E38EBFF0-3D60-4D84-BBA6-5BE5E604D0C4}"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6" l="1"/>
  <c r="G21" i="6"/>
  <c r="AC20" i="6"/>
  <c r="G20" i="6"/>
  <c r="BE19" i="6"/>
  <c r="AC19" i="6"/>
  <c r="S19" i="6"/>
  <c r="G19" i="6"/>
  <c r="BE18" i="6"/>
  <c r="AC18" i="6"/>
  <c r="S18" i="6"/>
  <c r="G18" i="6"/>
  <c r="BE17" i="6"/>
  <c r="AC17" i="6"/>
  <c r="S17" i="6"/>
  <c r="G17" i="6"/>
  <c r="BE16"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<sst xmlns="http://schemas.openxmlformats.org/spreadsheetml/2006/main" count="517" uniqueCount="187">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</sst>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147">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numFmt numFmtId="165" formatCode="0.0%"/>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s>
    <c:plotArea>
      <c:layout/>
      <c:pieChart>
        <c:varyColors val="1"/>
        <c:ser>
          <c:idx val="0"/>
          <c:order val="0"/>
          <c:tx>
            <c:strRef>
              <c:f>Análises!$BC$21:$BC$23</c:f>
              <c:strCache>
                <c:ptCount val="1"/>
                <c:pt idx="0">
                  <c:v>Saída - Soma do Valores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532E-4B8D-B68F-6A111FD568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88F-4281-8AEA-7AD3690862C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88F-4281-8AEA-7AD3690862C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88F-4281-8AEA-7AD3690862C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88F-4281-8AEA-7AD3690862C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88F-4281-8AEA-7AD3690862C8}"/>
              </c:ext>
            </c:extLst>
          </c:dPt>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Análises!$BB$24:$BB$33</c:f>
              <c:multiLvlStrCache>
                <c:ptCount val="6"/>
                <c:lvl>
                  <c:pt idx="0">
                    <c:v>Harry Kane</c:v>
                  </c:pt>
                  <c:pt idx="1">
                    <c:v>Steven Bergwijn</c:v>
                  </c:pt>
                  <c:pt idx="2">
                    <c:v>Christian Eriksen</c:v>
                  </c:pt>
                  <c:pt idx="3">
                    <c:v>Pierre-Emile Højbjerg</c:v>
                  </c:pt>
                  <c:pt idx="4">
                    <c:v>Toby Alderweireld</c:v>
                  </c:pt>
                  <c:pt idx="5">
                    <c:v>Jan Vertonghen</c:v>
                  </c:pt>
                </c:lvl>
                <c:lvl>
                  <c:pt idx="0">
                    <c:v>Atacante</c:v>
                  </c:pt>
                  <c:pt idx="2">
                    <c:v>Meio-campista</c:v>
                  </c:pt>
                  <c:pt idx="4">
                    <c:v>Defensor</c:v>
                  </c:pt>
                </c:lvl>
              </c:multiLvlStrCache>
            </c:multiLvlStrRef>
          </c:cat>
          <c:val>
            <c:numRef>
              <c:f>Análises!$BC$24:$BC$33</c:f>
              <c:numCache>
                <c:formatCode>[$£-809]#,##0.00</c:formatCode>
                <c:ptCount val="6"/>
                <c:pt idx="0">
                  <c:v>95000000</c:v>
                </c:pt>
                <c:pt idx="1">
                  <c:v>31300000</c:v>
                </c:pt>
                <c:pt idx="2">
                  <c:v>27000000</c:v>
                </c:pt>
                <c:pt idx="3">
                  <c:v>13500000</c:v>
                </c:pt>
                <c:pt idx="4">
                  <c:v>13000000</c:v>
                </c:pt>
                <c:pt idx="5">
                  <c:v>0</c:v>
                </c:pt>
              </c:numCache>
            </c:numRef>
          </c:val>
          <c:extLst>
            <c:ext xmlns:c16="http://schemas.microsoft.com/office/drawing/2014/chart" uri="{C3380CC4-5D6E-409C-BE32-E72D297353CC}">
              <c16:uniqueId val="{00000000-532E-4B8D-B68F-6A111FD568BC}"/>
            </c:ext>
          </c:extLst>
        </c:ser>
        <c:ser>
          <c:idx val="1"/>
          <c:order val="1"/>
          <c:tx>
            <c:strRef>
              <c:f>Análises!$BD$21:$BD$23</c:f>
              <c:strCache>
                <c:ptCount val="1"/>
                <c:pt idx="0">
                  <c:v>Saída - 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F88F-4281-8AEA-7AD3690862C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F88F-4281-8AEA-7AD3690862C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1-F88F-4281-8AEA-7AD3690862C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3-F88F-4281-8AEA-7AD3690862C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F88F-4281-8AEA-7AD3690862C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7-F88F-4281-8AEA-7AD3690862C8}"/>
              </c:ext>
            </c:extLst>
          </c:dPt>
          <c:cat>
            <c:multiLvlStrRef>
              <c:f>Análises!$BB$24:$BB$33</c:f>
              <c:multiLvlStrCache>
                <c:ptCount val="6"/>
                <c:lvl>
                  <c:pt idx="0">
                    <c:v>Harry Kane</c:v>
                  </c:pt>
                  <c:pt idx="1">
                    <c:v>Steven Bergwijn</c:v>
                  </c:pt>
                  <c:pt idx="2">
                    <c:v>Christian Eriksen</c:v>
                  </c:pt>
                  <c:pt idx="3">
                    <c:v>Pierre-Emile Højbjerg</c:v>
                  </c:pt>
                  <c:pt idx="4">
                    <c:v>Toby Alderweireld</c:v>
                  </c:pt>
                  <c:pt idx="5">
                    <c:v>Jan Vertonghen</c:v>
                  </c:pt>
                </c:lvl>
                <c:lvl>
                  <c:pt idx="0">
                    <c:v>Atacante</c:v>
                  </c:pt>
                  <c:pt idx="2">
                    <c:v>Meio-campista</c:v>
                  </c:pt>
                  <c:pt idx="4">
                    <c:v>Defensor</c:v>
                  </c:pt>
                </c:lvl>
              </c:multiLvlStrCache>
            </c:multiLvlStrRef>
          </c:cat>
          <c:val>
            <c:numRef>
              <c:f>Análises!$BD$24:$BD$33</c:f>
              <c:numCache>
                <c:formatCode>0.0%</c:formatCode>
                <c:ptCount val="6"/>
                <c:pt idx="0">
                  <c:v>0.52836484983314791</c:v>
                </c:pt>
                <c:pt idx="1">
                  <c:v>0.17408231368186874</c:v>
                </c:pt>
                <c:pt idx="2">
                  <c:v>0.15016685205784205</c:v>
                </c:pt>
                <c:pt idx="3">
                  <c:v>7.5083426028921027E-2</c:v>
                </c:pt>
                <c:pt idx="4">
                  <c:v>7.2302558398220251E-2</c:v>
                </c:pt>
                <c:pt idx="5">
                  <c:v>0</c:v>
                </c:pt>
              </c:numCache>
            </c:numRef>
          </c:val>
          <c:extLst>
            <c:ext xmlns:c16="http://schemas.microsoft.com/office/drawing/2014/chart" uri="{C3380CC4-5D6E-409C-BE32-E72D297353CC}">
              <c16:uniqueId val="{00000001-532E-4B8D-B68F-6A111FD568B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125802</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381085" y="201283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9525</xdr:colOff>
      <xdr:row>34</xdr:row>
      <xdr:rowOff>4762</xdr:rowOff>
    </xdr:from>
    <xdr:to>
      <xdr:col>57</xdr:col>
      <xdr:colOff>9524</xdr:colOff>
      <xdr:row>55</xdr:row>
      <xdr:rowOff>76200</xdr:rowOff>
    </xdr:to>
    <xdr:graphicFrame macro="">
      <xdr:nvGraphicFramePr>
        <xdr:cNvPr id="33" name="Gráfico 32">
          <a:extLst>
            <a:ext uri="{FF2B5EF4-FFF2-40B4-BE49-F238E27FC236}">
              <a16:creationId xmlns:a16="http://schemas.microsoft.com/office/drawing/2014/main" id="{2FE77612-A286-8777-0064-C2D3FC7B7F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 rowHeaderCaption="Posições e Jogadores" colHeaderCaption="Tipo de Movimentação">
  <location ref="BB21:BD33"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53">
      <pivotArea collapsedLevelsAreSubtotals="1" fieldPosition="0">
        <references count="1">
          <reference field="3" count="1">
            <x v="0"/>
          </reference>
        </references>
      </pivotArea>
    </format>
    <format dxfId="52">
      <pivotArea collapsedLevelsAreSubtotals="1" fieldPosition="0">
        <references count="2">
          <reference field="2" count="2">
            <x v="6"/>
            <x v="16"/>
          </reference>
          <reference field="3" count="1" selected="0">
            <x v="0"/>
          </reference>
        </references>
      </pivotArea>
    </format>
    <format dxfId="51">
      <pivotArea collapsedLevelsAreSubtotals="1" fieldPosition="0">
        <references count="1">
          <reference field="3" count="1">
            <x v="1"/>
          </reference>
        </references>
      </pivotArea>
    </format>
    <format dxfId="50">
      <pivotArea collapsedLevelsAreSubtotals="1" fieldPosition="0">
        <references count="2">
          <reference field="2" count="2">
            <x v="9"/>
            <x v="18"/>
          </reference>
          <reference field="3" count="1" selected="0">
            <x v="1"/>
          </reference>
        </references>
      </pivotArea>
    </format>
    <format dxfId="49">
      <pivotArea collapsedLevelsAreSubtotals="1" fieldPosition="0">
        <references count="1">
          <reference field="3" count="1">
            <x v="2"/>
          </reference>
        </references>
      </pivotArea>
    </format>
    <format dxfId="48">
      <pivotArea collapsedLevelsAreSubtotals="1" fieldPosition="0">
        <references count="2">
          <reference field="2" count="2">
            <x v="2"/>
            <x v="12"/>
          </reference>
          <reference field="3" count="1" selected="0">
            <x v="2"/>
          </reference>
        </references>
      </pivotArea>
    </format>
    <format dxfId="47">
      <pivotArea type="origin" dataOnly="0" labelOnly="1" outline="0" fieldPosition="0"/>
    </format>
    <format dxfId="46">
      <pivotArea field="1" type="button" dataOnly="0" labelOnly="1" outline="0" axis="axisCol" fieldPosition="0"/>
    </format>
    <format dxfId="45">
      <pivotArea field="-2" type="button" dataOnly="0" labelOnly="1" outline="0" axis="axisCol" fieldPosition="1"/>
    </format>
    <format dxfId="44">
      <pivotArea field="3" type="button" dataOnly="0" labelOnly="1" outline="0" axis="axisRow" fieldPosition="0"/>
    </format>
    <format dxfId="43">
      <pivotArea dataOnly="0" labelOnly="1" fieldPosition="0">
        <references count="1">
          <reference field="3" count="0"/>
        </references>
      </pivotArea>
    </format>
    <format dxfId="42">
      <pivotArea dataOnly="0" labelOnly="1" fieldPosition="0">
        <references count="2">
          <reference field="2" count="2">
            <x v="6"/>
            <x v="16"/>
          </reference>
          <reference field="3" count="1" selected="0">
            <x v="0"/>
          </reference>
        </references>
      </pivotArea>
    </format>
    <format dxfId="41">
      <pivotArea dataOnly="0" labelOnly="1" fieldPosition="0">
        <references count="2">
          <reference field="2" count="2">
            <x v="9"/>
            <x v="18"/>
          </reference>
          <reference field="3" count="1" selected="0">
            <x v="1"/>
          </reference>
        </references>
      </pivotArea>
    </format>
    <format dxfId="40">
      <pivotArea dataOnly="0" labelOnly="1" fieldPosition="0">
        <references count="2">
          <reference field="2" count="2">
            <x v="2"/>
            <x v="12"/>
          </reference>
          <reference field="3" count="1" selected="0">
            <x v="2"/>
          </reference>
        </references>
      </pivotArea>
    </format>
    <format dxfId="39">
      <pivotArea dataOnly="0" labelOnly="1" fieldPosition="0">
        <references count="1">
          <reference field="1" count="0"/>
        </references>
      </pivotArea>
    </format>
    <format dxfId="38">
      <pivotArea dataOnly="0" labelOnly="1" outline="0" fieldPosition="0">
        <references count="2">
          <reference field="4294967294" count="2">
            <x v="0"/>
            <x v="1"/>
          </reference>
          <reference field="1" count="0" selected="0"/>
        </references>
      </pivotArea>
    </format>
    <format dxfId="37">
      <pivotArea grandRow="1" outline="0" collapsedLevelsAreSubtotals="1" fieldPosition="0"/>
    </format>
    <format dxfId="36">
      <pivotArea outline="0" collapsedLevelsAreSubtotals="1" fieldPosition="0">
        <references count="2">
          <reference field="4294967294" count="1" selected="0">
            <x v="1"/>
          </reference>
          <reference field="1" count="0" selected="0"/>
        </references>
      </pivotArea>
    </format>
  </formats>
  <chartFormats count="20">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9">
      <pivotArea collapsedLevelsAreSubtotals="1" fieldPosition="0">
        <references count="1">
          <reference field="0" count="0"/>
        </references>
      </pivotArea>
    </format>
    <format dxfId="58">
      <pivotArea field="0" type="button" dataOnly="0" labelOnly="1" outline="0" axis="axisRow" fieldPosition="0"/>
    </format>
    <format dxfId="57">
      <pivotArea dataOnly="0" labelOnly="1" fieldPosition="0">
        <references count="1">
          <reference field="0" count="0"/>
        </references>
      </pivotArea>
    </format>
    <format dxfId="56">
      <pivotArea dataOnly="0" labelOnly="1" fieldPosition="0">
        <references count="1">
          <reference field="1" count="0"/>
        </references>
      </pivotArea>
    </format>
    <format dxfId="55">
      <pivotArea dataOnly="0" labelOnly="1" grandCol="1" outline="0" fieldPosition="0"/>
    </format>
    <format dxfId="54">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68">
      <pivotArea collapsedLevelsAreSubtotals="1" fieldPosition="0">
        <references count="1">
          <reference field="8" count="0"/>
        </references>
      </pivotArea>
    </format>
    <format dxfId="67">
      <pivotArea field="8" type="button" dataOnly="0" labelOnly="1" outline="0" axis="axisRow" fieldPosition="0"/>
    </format>
    <format dxfId="66">
      <pivotArea dataOnly="0" labelOnly="1" fieldPosition="0">
        <references count="1">
          <reference field="8" count="0"/>
        </references>
      </pivotArea>
    </format>
    <format dxfId="65">
      <pivotArea dataOnly="0" labelOnly="1" outline="0" axis="axisValues" fieldPosition="0"/>
    </format>
    <format dxfId="64">
      <pivotArea grandRow="1" outline="0" collapsedLevelsAreSubtotals="1" fieldPosition="0"/>
    </format>
    <format dxfId="63">
      <pivotArea dataOnly="0" labelOnly="1" grandRow="1" outline="0" fieldPosition="0"/>
    </format>
    <format dxfId="62">
      <pivotArea dataOnly="0" labelOnly="1" fieldPosition="0">
        <references count="1">
          <reference field="1" count="0"/>
        </references>
      </pivotArea>
    </format>
    <format dxfId="61">
      <pivotArea field="1" type="button" dataOnly="0" labelOnly="1" outline="0" axis="axisCol" fieldPosition="0"/>
    </format>
    <format dxfId="6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75">
      <pivotArea collapsedLevelsAreSubtotals="1" fieldPosition="0">
        <references count="1">
          <reference field="3" count="0"/>
        </references>
      </pivotArea>
    </format>
    <format dxfId="74">
      <pivotArea field="3" type="button" dataOnly="0" labelOnly="1" outline="0" axis="axisRow" fieldPosition="0"/>
    </format>
    <format dxfId="73">
      <pivotArea dataOnly="0" labelOnly="1" fieldPosition="0">
        <references count="1">
          <reference field="3" count="0"/>
        </references>
      </pivotArea>
    </format>
    <format dxfId="72">
      <pivotArea dataOnly="0" labelOnly="1" outline="0" axis="axisValues" fieldPosition="0"/>
    </format>
    <format dxfId="71">
      <pivotArea grandRow="1" outline="0" collapsedLevelsAreSubtotals="1" fieldPosition="0"/>
    </format>
    <format dxfId="70">
      <pivotArea dataOnly="0" labelOnly="1" fieldPosition="0">
        <references count="1">
          <reference field="0" count="0"/>
        </references>
      </pivotArea>
    </format>
    <format dxfId="6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13B9B0-7D32-4F4A-9400-E25F20E67AB4}" name="Tabela dinâmica7"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rowHeaderCaption="Posições" colHeaderCaption="Tipo de Movimentação">
  <location ref="BA14:BB19" firstHeaderRow="1" firstDataRow="2" firstDataCol="1"/>
  <pivotFields count="10">
    <pivotField showAll="0"/>
    <pivotField axis="axisCol" showAll="0">
      <items count="3">
        <item h="1" x="0"/>
        <item n="Saída" x="1"/>
        <item t="default"/>
      </items>
    </pivotField>
    <pivotField showAll="0">
      <items count="21">
        <item x="19"/>
        <item x="17"/>
        <item x="2"/>
        <item x="7"/>
        <item x="8"/>
        <item x="18"/>
        <item x="16"/>
        <item x="13"/>
        <item x="14"/>
        <item x="5"/>
        <item x="6"/>
        <item x="15"/>
        <item x="3"/>
        <item x="11"/>
        <item x="10"/>
        <item x="4"/>
        <item x="1"/>
        <item x="0"/>
        <item x="9"/>
        <item x="12"/>
        <item t="default"/>
      </items>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i>
    <i>
      <x v="2"/>
    </i>
    <i>
      <x v="1"/>
    </i>
    <i t="grand">
      <x/>
    </i>
  </rowItems>
  <colFields count="1">
    <field x="1"/>
  </colFields>
  <colItems count="1">
    <i>
      <x v="1"/>
    </i>
  </colItems>
  <dataFields count="1">
    <dataField name="Soma do Valor das Transferências" fld="6" baseField="0" baseItem="0" numFmtId="164"/>
  </dataFields>
  <formats count="16">
    <format dxfId="91">
      <pivotArea collapsedLevelsAreSubtotals="1" fieldPosition="0">
        <references count="1">
          <reference field="3" count="0"/>
        </references>
      </pivotArea>
    </format>
    <format dxfId="90">
      <pivotArea type="origin" dataOnly="0" labelOnly="1" outline="0" fieldPosition="0"/>
    </format>
    <format dxfId="89">
      <pivotArea field="1" type="button" dataOnly="0" labelOnly="1" outline="0" axis="axisCol" fieldPosition="0"/>
    </format>
    <format dxfId="88">
      <pivotArea grandRow="1" outline="0" collapsedLevelsAreSubtotals="1" fieldPosition="0"/>
    </format>
    <format dxfId="87">
      <pivotArea collapsedLevelsAreSubtotals="1" fieldPosition="0">
        <references count="1">
          <reference field="3" count="1">
            <x v="0"/>
          </reference>
        </references>
      </pivotArea>
    </format>
    <format dxfId="86">
      <pivotArea collapsedLevelsAreSubtotals="1" fieldPosition="0">
        <references count="1">
          <reference field="3" count="1">
            <x v="1"/>
          </reference>
        </references>
      </pivotArea>
    </format>
    <format dxfId="85">
      <pivotArea collapsedLevelsAreSubtotals="1" fieldPosition="0">
        <references count="1">
          <reference field="3" count="1">
            <x v="2"/>
          </reference>
        </references>
      </pivotArea>
    </format>
    <format dxfId="84">
      <pivotArea field="3" type="button" dataOnly="0" labelOnly="1" outline="0" axis="axisRow" fieldPosition="0"/>
    </format>
    <format dxfId="83">
      <pivotArea dataOnly="0" labelOnly="1" fieldPosition="0">
        <references count="1">
          <reference field="3" count="0"/>
        </references>
      </pivotArea>
    </format>
    <format dxfId="82">
      <pivotArea dataOnly="0" labelOnly="1" fieldPosition="0">
        <references count="1">
          <reference field="1" count="0"/>
        </references>
      </pivotArea>
    </format>
    <format dxfId="81">
      <pivotArea collapsedLevelsAreSubtotals="1" fieldPosition="0">
        <references count="1">
          <reference field="3" count="1">
            <x v="0"/>
          </reference>
        </references>
      </pivotArea>
    </format>
    <format dxfId="80">
      <pivotArea collapsedLevelsAreSubtotals="1" fieldPosition="0">
        <references count="1">
          <reference field="3" count="1">
            <x v="1"/>
          </reference>
        </references>
      </pivotArea>
    </format>
    <format dxfId="79">
      <pivotArea collapsedLevelsAreSubtotals="1" fieldPosition="0">
        <references count="1">
          <reference field="3" count="1">
            <x v="2"/>
          </reference>
        </references>
      </pivotArea>
    </format>
    <format dxfId="78">
      <pivotArea field="3" type="button" dataOnly="0" labelOnly="1" outline="0" axis="axisRow" fieldPosition="0"/>
    </format>
    <format dxfId="77">
      <pivotArea dataOnly="0" labelOnly="1" fieldPosition="0">
        <references count="1">
          <reference field="3" count="0"/>
        </references>
      </pivotArea>
    </format>
    <format dxfId="76">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100">
      <pivotArea type="all" dataOnly="0" outline="0" fieldPosition="0"/>
    </format>
    <format dxfId="99">
      <pivotArea outline="0" collapsedLevelsAreSubtotals="1" fieldPosition="0"/>
    </format>
    <format dxfId="98">
      <pivotArea type="origin" dataOnly="0" labelOnly="1" outline="0" fieldPosition="0"/>
    </format>
    <format dxfId="97">
      <pivotArea field="1" type="button" dataOnly="0" labelOnly="1" outline="0" axis="axisCol" fieldPosition="0"/>
    </format>
    <format dxfId="96">
      <pivotArea type="topRight" dataOnly="0" labelOnly="1" outline="0" fieldPosition="0"/>
    </format>
    <format dxfId="95">
      <pivotArea field="3" type="button" dataOnly="0" labelOnly="1" outline="0" axis="axisRow" fieldPosition="0"/>
    </format>
    <format dxfId="94">
      <pivotArea dataOnly="0" labelOnly="1" fieldPosition="0">
        <references count="1">
          <reference field="3" count="0"/>
        </references>
      </pivotArea>
    </format>
    <format dxfId="93">
      <pivotArea dataOnly="0" labelOnly="1" fieldPosition="0">
        <references count="1">
          <reference field="1" count="0"/>
        </references>
      </pivotArea>
    </format>
    <format dxfId="92">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146">
      <pivotArea type="all" dataOnly="0" outline="0" fieldPosition="0"/>
    </format>
    <format dxfId="145">
      <pivotArea outline="0" collapsedLevelsAreSubtotals="1" fieldPosition="0"/>
    </format>
    <format dxfId="144">
      <pivotArea type="origin" dataOnly="0" labelOnly="1" outline="0" fieldPosition="0"/>
    </format>
    <format dxfId="143">
      <pivotArea field="0" type="button" dataOnly="0" labelOnly="1" outline="0" axis="axisCol" fieldPosition="0"/>
    </format>
    <format dxfId="142">
      <pivotArea field="4" type="button" dataOnly="0" labelOnly="1" outline="0" axis="axisRow" fieldPosition="0"/>
    </format>
    <format dxfId="141">
      <pivotArea dataOnly="0" labelOnly="1" fieldPosition="0">
        <references count="1">
          <reference field="4" count="15">
            <x v="2"/>
            <x v="5"/>
            <x v="6"/>
            <x v="7"/>
            <x v="8"/>
            <x v="9"/>
            <x v="10"/>
            <x v="11"/>
            <x v="12"/>
            <x v="13"/>
            <x v="15"/>
            <x v="16"/>
            <x v="17"/>
            <x v="18"/>
            <x v="19"/>
          </reference>
        </references>
      </pivotArea>
    </format>
    <format dxfId="140">
      <pivotArea dataOnly="0" labelOnly="1" grandRow="1" outline="0" fieldPosition="0"/>
    </format>
    <format dxfId="139">
      <pivotArea dataOnly="0" labelOnly="1" fieldPosition="0">
        <references count="2">
          <reference field="3" count="1">
            <x v="0"/>
          </reference>
          <reference field="4" count="1" selected="0">
            <x v="2"/>
          </reference>
        </references>
      </pivotArea>
    </format>
    <format dxfId="138">
      <pivotArea dataOnly="0" labelOnly="1" fieldPosition="0">
        <references count="2">
          <reference field="3" count="1">
            <x v="8"/>
          </reference>
          <reference field="4" count="1" selected="0">
            <x v="5"/>
          </reference>
        </references>
      </pivotArea>
    </format>
    <format dxfId="137">
      <pivotArea dataOnly="0" labelOnly="1" fieldPosition="0">
        <references count="2">
          <reference field="3" count="1">
            <x v="10"/>
          </reference>
          <reference field="4" count="1" selected="0">
            <x v="6"/>
          </reference>
        </references>
      </pivotArea>
    </format>
    <format dxfId="136">
      <pivotArea dataOnly="0" labelOnly="1" fieldPosition="0">
        <references count="2">
          <reference field="3" count="1">
            <x v="2"/>
          </reference>
          <reference field="4" count="1" selected="0">
            <x v="7"/>
          </reference>
        </references>
      </pivotArea>
    </format>
    <format dxfId="135">
      <pivotArea dataOnly="0" labelOnly="1" fieldPosition="0">
        <references count="2">
          <reference field="3" count="1">
            <x v="3"/>
          </reference>
          <reference field="4" count="1" selected="0">
            <x v="8"/>
          </reference>
        </references>
      </pivotArea>
    </format>
    <format dxfId="134">
      <pivotArea dataOnly="0" labelOnly="1" fieldPosition="0">
        <references count="2">
          <reference field="3" count="2">
            <x v="12"/>
            <x v="13"/>
          </reference>
          <reference field="4" count="1" selected="0">
            <x v="9"/>
          </reference>
        </references>
      </pivotArea>
    </format>
    <format dxfId="133">
      <pivotArea dataOnly="0" labelOnly="1" fieldPosition="0">
        <references count="2">
          <reference field="3" count="1">
            <x v="8"/>
          </reference>
          <reference field="4" count="1" selected="0">
            <x v="10"/>
          </reference>
        </references>
      </pivotArea>
    </format>
    <format dxfId="132">
      <pivotArea dataOnly="0" labelOnly="1" fieldPosition="0">
        <references count="2">
          <reference field="3" count="1">
            <x v="8"/>
          </reference>
          <reference field="4" count="1" selected="0">
            <x v="11"/>
          </reference>
        </references>
      </pivotArea>
    </format>
    <format dxfId="131">
      <pivotArea dataOnly="0" labelOnly="1" fieldPosition="0">
        <references count="2">
          <reference field="3" count="1">
            <x v="6"/>
          </reference>
          <reference field="4" count="1" selected="0">
            <x v="12"/>
          </reference>
        </references>
      </pivotArea>
    </format>
    <format dxfId="130">
      <pivotArea dataOnly="0" labelOnly="1" fieldPosition="0">
        <references count="2">
          <reference field="3" count="1">
            <x v="11"/>
          </reference>
          <reference field="4" count="1" selected="0">
            <x v="13"/>
          </reference>
        </references>
      </pivotArea>
    </format>
    <format dxfId="129">
      <pivotArea dataOnly="0" labelOnly="1" fieldPosition="0">
        <references count="2">
          <reference field="3" count="1">
            <x v="7"/>
          </reference>
          <reference field="4" count="1" selected="0">
            <x v="15"/>
          </reference>
        </references>
      </pivotArea>
    </format>
    <format dxfId="128">
      <pivotArea dataOnly="0" labelOnly="1" fieldPosition="0">
        <references count="2">
          <reference field="3" count="1">
            <x v="5"/>
          </reference>
          <reference field="4" count="1" selected="0">
            <x v="16"/>
          </reference>
        </references>
      </pivotArea>
    </format>
    <format dxfId="127">
      <pivotArea dataOnly="0" labelOnly="1" fieldPosition="0">
        <references count="2">
          <reference field="3" count="1">
            <x v="4"/>
          </reference>
          <reference field="4" count="1" selected="0">
            <x v="17"/>
          </reference>
        </references>
      </pivotArea>
    </format>
    <format dxfId="126">
      <pivotArea dataOnly="0" labelOnly="1" fieldPosition="0">
        <references count="2">
          <reference field="3" count="1">
            <x v="7"/>
          </reference>
          <reference field="4" count="1" selected="0">
            <x v="18"/>
          </reference>
        </references>
      </pivotArea>
    </format>
    <format dxfId="125">
      <pivotArea dataOnly="0" labelOnly="1" fieldPosition="0">
        <references count="2">
          <reference field="3" count="1">
            <x v="9"/>
          </reference>
          <reference field="4" count="1" selected="0">
            <x v="19"/>
          </reference>
        </references>
      </pivotArea>
    </format>
    <format dxfId="124">
      <pivotArea dataOnly="0" labelOnly="1" fieldPosition="0">
        <references count="1">
          <reference field="0" count="0"/>
        </references>
      </pivotArea>
    </format>
    <format dxfId="123">
      <pivotArea type="all" dataOnly="0" outline="0" fieldPosition="0"/>
    </format>
    <format dxfId="122">
      <pivotArea outline="0" collapsedLevelsAreSubtotals="1" fieldPosition="0"/>
    </format>
    <format dxfId="121">
      <pivotArea type="origin" dataOnly="0" labelOnly="1" outline="0" fieldPosition="0"/>
    </format>
    <format dxfId="120">
      <pivotArea field="0" type="button" dataOnly="0" labelOnly="1" outline="0" axis="axisCol" fieldPosition="0"/>
    </format>
    <format dxfId="119">
      <pivotArea field="4" type="button" dataOnly="0" labelOnly="1" outline="0" axis="axisRow" fieldPosition="0"/>
    </format>
    <format dxfId="118">
      <pivotArea dataOnly="0" labelOnly="1" fieldPosition="0">
        <references count="1">
          <reference field="4" count="15">
            <x v="2"/>
            <x v="5"/>
            <x v="6"/>
            <x v="7"/>
            <x v="8"/>
            <x v="9"/>
            <x v="10"/>
            <x v="11"/>
            <x v="12"/>
            <x v="13"/>
            <x v="15"/>
            <x v="16"/>
            <x v="17"/>
            <x v="18"/>
            <x v="19"/>
          </reference>
        </references>
      </pivotArea>
    </format>
    <format dxfId="117">
      <pivotArea dataOnly="0" labelOnly="1" grandRow="1" outline="0" fieldPosition="0"/>
    </format>
    <format dxfId="116">
      <pivotArea dataOnly="0" labelOnly="1" fieldPosition="0">
        <references count="2">
          <reference field="3" count="1">
            <x v="0"/>
          </reference>
          <reference field="4" count="1" selected="0">
            <x v="2"/>
          </reference>
        </references>
      </pivotArea>
    </format>
    <format dxfId="115">
      <pivotArea dataOnly="0" labelOnly="1" fieldPosition="0">
        <references count="2">
          <reference field="3" count="1">
            <x v="8"/>
          </reference>
          <reference field="4" count="1" selected="0">
            <x v="5"/>
          </reference>
        </references>
      </pivotArea>
    </format>
    <format dxfId="114">
      <pivotArea dataOnly="0" labelOnly="1" fieldPosition="0">
        <references count="2">
          <reference field="3" count="1">
            <x v="10"/>
          </reference>
          <reference field="4" count="1" selected="0">
            <x v="6"/>
          </reference>
        </references>
      </pivotArea>
    </format>
    <format dxfId="113">
      <pivotArea dataOnly="0" labelOnly="1" fieldPosition="0">
        <references count="2">
          <reference field="3" count="1">
            <x v="2"/>
          </reference>
          <reference field="4" count="1" selected="0">
            <x v="7"/>
          </reference>
        </references>
      </pivotArea>
    </format>
    <format dxfId="112">
      <pivotArea dataOnly="0" labelOnly="1" fieldPosition="0">
        <references count="2">
          <reference field="3" count="1">
            <x v="3"/>
          </reference>
          <reference field="4" count="1" selected="0">
            <x v="8"/>
          </reference>
        </references>
      </pivotArea>
    </format>
    <format dxfId="111">
      <pivotArea dataOnly="0" labelOnly="1" fieldPosition="0">
        <references count="2">
          <reference field="3" count="2">
            <x v="12"/>
            <x v="13"/>
          </reference>
          <reference field="4" count="1" selected="0">
            <x v="9"/>
          </reference>
        </references>
      </pivotArea>
    </format>
    <format dxfId="110">
      <pivotArea dataOnly="0" labelOnly="1" fieldPosition="0">
        <references count="2">
          <reference field="3" count="1">
            <x v="8"/>
          </reference>
          <reference field="4" count="1" selected="0">
            <x v="10"/>
          </reference>
        </references>
      </pivotArea>
    </format>
    <format dxfId="109">
      <pivotArea dataOnly="0" labelOnly="1" fieldPosition="0">
        <references count="2">
          <reference field="3" count="1">
            <x v="8"/>
          </reference>
          <reference field="4" count="1" selected="0">
            <x v="11"/>
          </reference>
        </references>
      </pivotArea>
    </format>
    <format dxfId="108">
      <pivotArea dataOnly="0" labelOnly="1" fieldPosition="0">
        <references count="2">
          <reference field="3" count="1">
            <x v="6"/>
          </reference>
          <reference field="4" count="1" selected="0">
            <x v="12"/>
          </reference>
        </references>
      </pivotArea>
    </format>
    <format dxfId="107">
      <pivotArea dataOnly="0" labelOnly="1" fieldPosition="0">
        <references count="2">
          <reference field="3" count="1">
            <x v="11"/>
          </reference>
          <reference field="4" count="1" selected="0">
            <x v="13"/>
          </reference>
        </references>
      </pivotArea>
    </format>
    <format dxfId="106">
      <pivotArea dataOnly="0" labelOnly="1" fieldPosition="0">
        <references count="2">
          <reference field="3" count="1">
            <x v="7"/>
          </reference>
          <reference field="4" count="1" selected="0">
            <x v="15"/>
          </reference>
        </references>
      </pivotArea>
    </format>
    <format dxfId="105">
      <pivotArea dataOnly="0" labelOnly="1" fieldPosition="0">
        <references count="2">
          <reference field="3" count="1">
            <x v="5"/>
          </reference>
          <reference field="4" count="1" selected="0">
            <x v="16"/>
          </reference>
        </references>
      </pivotArea>
    </format>
    <format dxfId="104">
      <pivotArea dataOnly="0" labelOnly="1" fieldPosition="0">
        <references count="2">
          <reference field="3" count="1">
            <x v="4"/>
          </reference>
          <reference field="4" count="1" selected="0">
            <x v="17"/>
          </reference>
        </references>
      </pivotArea>
    </format>
    <format dxfId="103">
      <pivotArea dataOnly="0" labelOnly="1" fieldPosition="0">
        <references count="2">
          <reference field="3" count="1">
            <x v="7"/>
          </reference>
          <reference field="4" count="1" selected="0">
            <x v="18"/>
          </reference>
        </references>
      </pivotArea>
    </format>
    <format dxfId="102">
      <pivotArea dataOnly="0" labelOnly="1" fieldPosition="0">
        <references count="2">
          <reference field="3" count="1">
            <x v="9"/>
          </reference>
          <reference field="4" count="1" selected="0">
            <x v="19"/>
          </reference>
        </references>
      </pivotArea>
    </format>
    <format dxfId="101">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E47"/>
  <sheetViews>
    <sheetView tabSelected="1" topLeftCell="BA8" zoomScale="106" zoomScaleNormal="106" workbookViewId="0">
      <selection activeCell="BG41" sqref="BG41"/>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31.42578125" bestFit="1" customWidth="1"/>
    <col min="54" max="54" width="24.42578125" bestFit="1" customWidth="1"/>
    <col min="55" max="55" width="26.28515625" bestFit="1" customWidth="1"/>
    <col min="56" max="56" width="24.140625" bestFit="1" customWidth="1"/>
    <col min="57" max="57" width="14.85546875" bestFit="1" customWidth="1"/>
    <col min="58" max="58" width="15" bestFit="1" customWidth="1"/>
    <col min="59" max="59" width="17.7109375" bestFit="1" customWidth="1"/>
    <col min="60" max="60" width="14.140625" bestFit="1" customWidth="1"/>
    <col min="61" max="61" width="16.2851562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7" x14ac:dyDescent="0.25">
      <c r="C4" s="7" t="s">
        <v>158</v>
      </c>
      <c r="D4" s="7" t="s">
        <v>159</v>
      </c>
      <c r="E4" s="7" t="s">
        <v>160</v>
      </c>
      <c r="F4" s="7" t="s">
        <v>161</v>
      </c>
      <c r="G4" s="7" t="s">
        <v>162</v>
      </c>
      <c r="H4" s="7" t="s">
        <v>163</v>
      </c>
    </row>
    <row r="5" spans="1:57"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57" x14ac:dyDescent="0.25">
      <c r="A14" s="8" t="s">
        <v>167</v>
      </c>
      <c r="B14" s="8" t="s">
        <v>166</v>
      </c>
      <c r="O14" s="10" t="s">
        <v>170</v>
      </c>
      <c r="P14" s="10" t="s">
        <v>171</v>
      </c>
      <c r="Y14" s="10" t="s">
        <v>175</v>
      </c>
      <c r="Z14" s="10" t="s">
        <v>171</v>
      </c>
      <c r="AK14" s="10" t="s">
        <v>182</v>
      </c>
      <c r="AL14" s="8" t="s">
        <v>175</v>
      </c>
      <c r="AN14" s="10" t="s">
        <v>184</v>
      </c>
      <c r="AO14" s="10" t="s">
        <v>175</v>
      </c>
      <c r="BA14" s="10" t="s">
        <v>170</v>
      </c>
      <c r="BB14" s="10" t="s">
        <v>171</v>
      </c>
    </row>
    <row r="15" spans="1:57"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10" t="s">
        <v>169</v>
      </c>
      <c r="BB15" s="2" t="s">
        <v>48</v>
      </c>
      <c r="BD15" s="11" t="s">
        <v>169</v>
      </c>
      <c r="BE15" s="11" t="s">
        <v>172</v>
      </c>
    </row>
    <row r="16" spans="1:57"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2" t="s">
        <v>77</v>
      </c>
      <c r="BB16" s="6">
        <v>126300000</v>
      </c>
      <c r="BD16" s="2" t="s">
        <v>77</v>
      </c>
      <c r="BE16" s="13">
        <f>BC24/BC33</f>
        <v>0.70244716351501668</v>
      </c>
    </row>
    <row r="17" spans="1:57"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156</v>
      </c>
      <c r="BB17" s="6">
        <v>40500000</v>
      </c>
      <c r="BD17" s="2" t="s">
        <v>156</v>
      </c>
      <c r="BE17" s="13">
        <f>BB17/$BB$19</f>
        <v>0.22525027808676307</v>
      </c>
    </row>
    <row r="18" spans="1:57"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70</v>
      </c>
      <c r="BB18" s="6">
        <v>13000000</v>
      </c>
      <c r="BD18" s="2" t="s">
        <v>70</v>
      </c>
      <c r="BE18" s="13">
        <f>BB18/$BB$19</f>
        <v>7.2302558398220251E-2</v>
      </c>
    </row>
    <row r="19" spans="1:57"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9" t="s">
        <v>164</v>
      </c>
      <c r="BB19" s="6">
        <v>179800000</v>
      </c>
      <c r="BD19" s="12" t="s">
        <v>164</v>
      </c>
      <c r="BE19" s="14">
        <f>BB19/$BB$19</f>
        <v>1</v>
      </c>
    </row>
    <row r="20" spans="1:57"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row>
    <row r="21" spans="1:57" x14ac:dyDescent="0.25">
      <c r="A21" s="2" t="s">
        <v>109</v>
      </c>
      <c r="B21" s="6">
        <v>106000000</v>
      </c>
      <c r="C21" s="6">
        <v>13500000</v>
      </c>
      <c r="D21" s="6">
        <v>119500000</v>
      </c>
      <c r="F21" s="2" t="s">
        <v>109</v>
      </c>
      <c r="G21" s="6">
        <f t="shared" si="0"/>
        <v>-92500000</v>
      </c>
      <c r="AK21" s="2" t="s">
        <v>44</v>
      </c>
      <c r="AL21" s="2">
        <v>1</v>
      </c>
      <c r="AN21" s="2" t="s">
        <v>84</v>
      </c>
      <c r="AO21" s="2">
        <v>1</v>
      </c>
      <c r="BB21" s="2"/>
      <c r="BC21" s="10" t="s">
        <v>171</v>
      </c>
      <c r="BD21" s="2"/>
    </row>
    <row r="22" spans="1:57" x14ac:dyDescent="0.25">
      <c r="A22" s="9" t="s">
        <v>164</v>
      </c>
      <c r="B22" s="6">
        <v>553200000</v>
      </c>
      <c r="C22" s="6">
        <v>179800000</v>
      </c>
      <c r="D22" s="6">
        <v>733000000</v>
      </c>
      <c r="F22" s="12" t="s">
        <v>164</v>
      </c>
      <c r="G22" s="6">
        <f t="shared" si="0"/>
        <v>-373400000</v>
      </c>
      <c r="AK22" s="2" t="s">
        <v>84</v>
      </c>
      <c r="AL22" s="2">
        <v>1</v>
      </c>
      <c r="AN22" s="2" t="s">
        <v>79</v>
      </c>
      <c r="AO22" s="2">
        <v>1</v>
      </c>
      <c r="BB22" s="2"/>
      <c r="BC22" s="2" t="s">
        <v>48</v>
      </c>
      <c r="BD22" s="2"/>
    </row>
    <row r="23" spans="1:57" x14ac:dyDescent="0.25">
      <c r="AK23" s="2" t="s">
        <v>30</v>
      </c>
      <c r="AL23" s="2">
        <v>1</v>
      </c>
      <c r="AN23" s="2" t="s">
        <v>78</v>
      </c>
      <c r="AO23" s="2">
        <v>1</v>
      </c>
      <c r="BB23" s="10" t="s">
        <v>185</v>
      </c>
      <c r="BC23" s="2" t="s">
        <v>186</v>
      </c>
      <c r="BD23" s="2" t="s">
        <v>172</v>
      </c>
    </row>
    <row r="24" spans="1:57" x14ac:dyDescent="0.25">
      <c r="AK24" s="2" t="s">
        <v>152</v>
      </c>
      <c r="AL24" s="2">
        <v>1</v>
      </c>
      <c r="AN24" s="2" t="s">
        <v>153</v>
      </c>
      <c r="AO24" s="2">
        <v>1</v>
      </c>
      <c r="BB24" s="2" t="s">
        <v>77</v>
      </c>
      <c r="BC24" s="6">
        <v>126300000</v>
      </c>
      <c r="BD24" s="13">
        <v>0.70244716351501668</v>
      </c>
    </row>
    <row r="25" spans="1:57" x14ac:dyDescent="0.25">
      <c r="AK25" s="2" t="s">
        <v>78</v>
      </c>
      <c r="AL25" s="2">
        <v>1</v>
      </c>
      <c r="AN25" s="2" t="s">
        <v>124</v>
      </c>
      <c r="AO25" s="2">
        <v>1</v>
      </c>
      <c r="BB25" s="2" t="s">
        <v>104</v>
      </c>
      <c r="BC25" s="6">
        <v>95000000</v>
      </c>
      <c r="BD25" s="13">
        <v>0.52836484983314791</v>
      </c>
    </row>
    <row r="26" spans="1:57" x14ac:dyDescent="0.25">
      <c r="AK26" s="2" t="s">
        <v>64</v>
      </c>
      <c r="AL26" s="2">
        <v>1</v>
      </c>
      <c r="AN26" s="2" t="s">
        <v>65</v>
      </c>
      <c r="AO26" s="2">
        <v>2</v>
      </c>
      <c r="BB26" s="2" t="s">
        <v>88</v>
      </c>
      <c r="BC26" s="6">
        <v>31300000</v>
      </c>
      <c r="BD26" s="13">
        <v>0.17408231368186874</v>
      </c>
    </row>
    <row r="27" spans="1:57" x14ac:dyDescent="0.25">
      <c r="AK27" s="2" t="s">
        <v>90</v>
      </c>
      <c r="AL27" s="2">
        <v>2</v>
      </c>
      <c r="AN27" s="2" t="s">
        <v>64</v>
      </c>
      <c r="AO27" s="2">
        <v>1</v>
      </c>
      <c r="BB27" s="2" t="s">
        <v>156</v>
      </c>
      <c r="BC27" s="6">
        <v>40500000</v>
      </c>
      <c r="BD27" s="13">
        <v>0.22525027808676307</v>
      </c>
    </row>
    <row r="28" spans="1:57" x14ac:dyDescent="0.25">
      <c r="AK28" s="2" t="s">
        <v>97</v>
      </c>
      <c r="AL28" s="2">
        <v>3</v>
      </c>
      <c r="AN28" s="2" t="s">
        <v>129</v>
      </c>
      <c r="AO28" s="2">
        <v>1</v>
      </c>
      <c r="BB28" s="2" t="s">
        <v>28</v>
      </c>
      <c r="BC28" s="6">
        <v>27000000</v>
      </c>
      <c r="BD28" s="13">
        <v>0.15016685205784205</v>
      </c>
    </row>
    <row r="29" spans="1:57" x14ac:dyDescent="0.25">
      <c r="AK29" s="9" t="s">
        <v>164</v>
      </c>
      <c r="AL29" s="2">
        <v>16</v>
      </c>
      <c r="AN29" s="2" t="s">
        <v>117</v>
      </c>
      <c r="AO29" s="2">
        <v>1</v>
      </c>
      <c r="BB29" s="2" t="s">
        <v>149</v>
      </c>
      <c r="BC29" s="6">
        <v>13500000</v>
      </c>
      <c r="BD29" s="13">
        <v>7.5083426028921027E-2</v>
      </c>
    </row>
    <row r="30" spans="1:57" x14ac:dyDescent="0.25">
      <c r="AN30" s="2" t="s">
        <v>97</v>
      </c>
      <c r="AO30" s="2">
        <v>1</v>
      </c>
      <c r="BB30" s="2" t="s">
        <v>70</v>
      </c>
      <c r="BC30" s="6">
        <v>13000000</v>
      </c>
      <c r="BD30" s="13">
        <v>7.2302558398220251E-2</v>
      </c>
    </row>
    <row r="31" spans="1:57" x14ac:dyDescent="0.25">
      <c r="AN31" s="2" t="s">
        <v>98</v>
      </c>
      <c r="AO31" s="2">
        <v>1</v>
      </c>
      <c r="BB31" s="2" t="s">
        <v>69</v>
      </c>
      <c r="BC31" s="6">
        <v>13000000</v>
      </c>
      <c r="BD31" s="13">
        <v>7.2302558398220251E-2</v>
      </c>
    </row>
    <row r="32" spans="1:57" x14ac:dyDescent="0.25">
      <c r="AN32" s="2" t="s">
        <v>97</v>
      </c>
      <c r="AO32" s="2">
        <v>1</v>
      </c>
      <c r="BB32" s="2" t="s">
        <v>49</v>
      </c>
      <c r="BC32" s="6">
        <v>0</v>
      </c>
      <c r="BD32" s="13">
        <v>0</v>
      </c>
    </row>
    <row r="33" spans="40:56" x14ac:dyDescent="0.25">
      <c r="AN33" s="2" t="s">
        <v>14</v>
      </c>
      <c r="AO33" s="2">
        <v>1</v>
      </c>
      <c r="BB33" s="9" t="s">
        <v>164</v>
      </c>
      <c r="BC33" s="6">
        <v>179800000</v>
      </c>
      <c r="BD33" s="13">
        <v>1</v>
      </c>
    </row>
    <row r="34" spans="40:56" x14ac:dyDescent="0.25">
      <c r="AN34" s="2" t="s">
        <v>13</v>
      </c>
      <c r="AO34" s="2">
        <v>1</v>
      </c>
    </row>
    <row r="35" spans="40:56" x14ac:dyDescent="0.25">
      <c r="AN35" s="2" t="s">
        <v>139</v>
      </c>
      <c r="AO35" s="2">
        <v>1</v>
      </c>
    </row>
    <row r="36" spans="40:56" x14ac:dyDescent="0.25">
      <c r="AN36" s="2" t="s">
        <v>152</v>
      </c>
      <c r="AO36" s="2">
        <v>1</v>
      </c>
    </row>
    <row r="37" spans="40:56" x14ac:dyDescent="0.25">
      <c r="AN37" s="2" t="s">
        <v>22</v>
      </c>
      <c r="AO37" s="2">
        <v>1</v>
      </c>
    </row>
    <row r="38" spans="40:56" x14ac:dyDescent="0.25">
      <c r="AN38" s="2" t="s">
        <v>90</v>
      </c>
      <c r="AO38" s="2">
        <v>1</v>
      </c>
    </row>
    <row r="39" spans="40:56" x14ac:dyDescent="0.25">
      <c r="AN39" s="2" t="s">
        <v>45</v>
      </c>
      <c r="AO39" s="2">
        <v>1</v>
      </c>
    </row>
    <row r="40" spans="40:56" x14ac:dyDescent="0.25">
      <c r="AN40" s="2" t="s">
        <v>44</v>
      </c>
      <c r="AO40" s="2">
        <v>1</v>
      </c>
    </row>
    <row r="41" spans="40:56" x14ac:dyDescent="0.25">
      <c r="AN41" s="2" t="s">
        <v>38</v>
      </c>
      <c r="AO41" s="2">
        <v>1</v>
      </c>
    </row>
    <row r="42" spans="40:56" x14ac:dyDescent="0.25">
      <c r="AN42" s="2" t="s">
        <v>30</v>
      </c>
      <c r="AO42" s="2">
        <v>1</v>
      </c>
    </row>
    <row r="43" spans="40:56" x14ac:dyDescent="0.25">
      <c r="AN43" s="2" t="s">
        <v>102</v>
      </c>
      <c r="AO43" s="2">
        <v>1</v>
      </c>
    </row>
    <row r="44" spans="40:56" x14ac:dyDescent="0.25">
      <c r="AN44" s="2" t="s">
        <v>90</v>
      </c>
      <c r="AO44" s="2">
        <v>1</v>
      </c>
    </row>
    <row r="45" spans="40:56" x14ac:dyDescent="0.25">
      <c r="AN45" s="2" t="s">
        <v>134</v>
      </c>
      <c r="AO45" s="2">
        <v>1</v>
      </c>
    </row>
    <row r="46" spans="40:56" x14ac:dyDescent="0.25">
      <c r="AN46" s="2" t="s">
        <v>132</v>
      </c>
      <c r="AO46" s="2">
        <v>1</v>
      </c>
    </row>
    <row r="47" spans="40:56"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8"/>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55"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2026-06-30T22:43:51Z</dcterms:modified>
</cp:coreProperties>
</file>