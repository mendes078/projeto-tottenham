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3ECC86BE-BE9A-411D-B77D-CD562B5D6DDB}"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19"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<sst xmlns="http://schemas.openxmlformats.org/spreadsheetml/2006/main" count="434" uniqueCount="181">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</sst>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9">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0" fontId="0" fillId="0" borderId="0" xfId="0" applyAlignment="1"/>
    <xf numFmtId="0" fontId="0" fillId="0" borderId="0" xfId="0" applyNumberFormat="1" applyAlignment="1">
      <alignment horizontal="center"/>
    </xf>
    <xf numFmtId="9" fontId="3" fillId="2" borderId="0" xfId="1" applyFont="1" applyFill="1" applyAlignment="1">
      <alignment horizontal="center"/>
    </xf>
    <xf numFmtId="9" fontId="0" fillId="0" borderId="0" xfId="1" applyFont="1" applyAlignment="1">
      <alignment horizontal="center"/>
    </xf>
  </cellXfs>
  <cellStyles count="2">
    <cellStyle name="Normal" xfId="0" builtinId="0"/>
    <cellStyle name="Porcentagem" xfId="1" builtinId="5"/>
  </cellStyles>
  <dxfs count="108">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231467"/>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2314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5.801321412036"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19"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items count="9">
        <item m="1" x="5"/>
        <item m="1" x="4"/>
        <item m="1" x="7"/>
        <item m="1" x="6"/>
        <item x="3"/>
        <item x="0"/>
        <item x="1"/>
        <item x="2"/>
        <item t="default"/>
      </items>
    </pivotField>
    <pivotField showAll="0"/>
  </pivotFields>
  <rowFields count="1">
    <field x="8"/>
  </rowFields>
  <rowItems count="5">
    <i>
      <x v="4"/>
    </i>
    <i>
      <x v="5"/>
    </i>
    <i>
      <x v="6"/>
    </i>
    <i>
      <x v="7"/>
    </i>
    <i t="grand">
      <x/>
    </i>
  </rowItems>
  <colFields count="1">
    <field x="1"/>
  </colFields>
  <colItems count="1">
    <i>
      <x v="1"/>
    </i>
  </colItems>
  <dataFields count="1">
    <dataField name="Contagem de Jogadores" fld="8" subtotal="count" baseField="8" baseItem="0"/>
  </dataFields>
  <formats count="9">
    <format dxfId="9">
      <pivotArea collapsedLevelsAreSubtotals="1" fieldPosition="0">
        <references count="1">
          <reference field="8" count="0"/>
        </references>
      </pivotArea>
    </format>
    <format dxfId="10">
      <pivotArea field="8" type="button" dataOnly="0" labelOnly="1" outline="0" axis="axisRow" fieldPosition="0"/>
    </format>
    <format dxfId="11">
      <pivotArea dataOnly="0" labelOnly="1" fieldPosition="0">
        <references count="1">
          <reference field="8" count="0"/>
        </references>
      </pivotArea>
    </format>
    <format dxfId="12">
      <pivotArea dataOnly="0" labelOnly="1" outline="0" axis="axisValues" fieldPosition="0"/>
    </format>
    <format dxfId="13">
      <pivotArea grandRow="1" outline="0" collapsedLevelsAreSubtotals="1" fieldPosition="0"/>
    </format>
    <format dxfId="14">
      <pivotArea dataOnly="0" labelOnly="1" grandRow="1" outline="0" fieldPosition="0"/>
    </format>
    <format dxfId="15">
      <pivotArea dataOnly="0" labelOnly="1" fieldPosition="0">
        <references count="1">
          <reference field="1" count="0"/>
        </references>
      </pivotArea>
    </format>
    <format dxfId="16">
      <pivotArea field="1" type="button" dataOnly="0" labelOnly="1" outline="0" axis="axisCol" fieldPosition="0"/>
    </format>
    <format dxfId="0">
      <pivotArea type="origin" dataOnly="0" labelOnly="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19"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101">
      <pivotArea type="all" dataOnly="0" outline="0" fieldPosition="0"/>
    </format>
    <format dxfId="100">
      <pivotArea outline="0" collapsedLevelsAreSubtotals="1" fieldPosition="0"/>
    </format>
    <format dxfId="99">
      <pivotArea type="origin" dataOnly="0" labelOnly="1" outline="0" fieldPosition="0"/>
    </format>
    <format dxfId="98">
      <pivotArea field="1" type="button" dataOnly="0" labelOnly="1" outline="0" axis="axisCol" fieldPosition="0"/>
    </format>
    <format dxfId="97">
      <pivotArea type="topRight" dataOnly="0" labelOnly="1" outline="0" fieldPosition="0"/>
    </format>
    <format dxfId="96">
      <pivotArea field="3" type="button" dataOnly="0" labelOnly="1" outline="0" axis="axisRow" fieldPosition="0"/>
    </format>
    <format dxfId="95">
      <pivotArea dataOnly="0" labelOnly="1" fieldPosition="0">
        <references count="1">
          <reference field="3" count="0"/>
        </references>
      </pivotArea>
    </format>
    <format dxfId="94">
      <pivotArea dataOnly="0" labelOnly="1" fieldPosition="0">
        <references count="1">
          <reference field="1" count="0"/>
        </references>
      </pivotArea>
    </format>
    <format dxfId="93">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19"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07">
      <pivotArea collapsedLevelsAreSubtotals="1" fieldPosition="0">
        <references count="1">
          <reference field="0" count="0"/>
        </references>
      </pivotArea>
    </format>
    <format dxfId="106">
      <pivotArea field="0" type="button" dataOnly="0" labelOnly="1" outline="0" axis="axisRow" fieldPosition="0"/>
    </format>
    <format dxfId="105">
      <pivotArea dataOnly="0" labelOnly="1" fieldPosition="0">
        <references count="1">
          <reference field="0" count="0"/>
        </references>
      </pivotArea>
    </format>
    <format dxfId="104">
      <pivotArea dataOnly="0" labelOnly="1" fieldPosition="0">
        <references count="1">
          <reference field="1" count="0"/>
        </references>
      </pivotArea>
    </format>
    <format dxfId="103">
      <pivotArea dataOnly="0" labelOnly="1" grandCol="1" outline="0" fieldPosition="0"/>
    </format>
    <format dxfId="102">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zoomScaleNormal="100" workbookViewId="0">
      <selection activeCell="H26" sqref="H2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C22"/>
  <sheetViews>
    <sheetView tabSelected="1" topLeftCell="T7" zoomScaleNormal="100" workbookViewId="0">
      <selection activeCell="AB14" sqref="AB14"/>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s>
  <sheetData>
    <row r="4" spans="1:29" x14ac:dyDescent="0.25">
      <c r="C4" s="7" t="s">
        <v>158</v>
      </c>
      <c r="D4" s="7" t="s">
        <v>159</v>
      </c>
      <c r="E4" s="7" t="s">
        <v>160</v>
      </c>
      <c r="F4" s="7" t="s">
        <v>161</v>
      </c>
      <c r="G4" s="7" t="s">
        <v>162</v>
      </c>
      <c r="H4" s="7" t="s">
        <v>163</v>
      </c>
    </row>
    <row r="5" spans="1:29"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29" x14ac:dyDescent="0.25">
      <c r="A14" s="8" t="s">
        <v>167</v>
      </c>
      <c r="B14" s="8" t="s">
        <v>166</v>
      </c>
      <c r="O14" s="10" t="s">
        <v>170</v>
      </c>
      <c r="P14" s="10" t="s">
        <v>171</v>
      </c>
      <c r="Y14" s="10" t="s">
        <v>175</v>
      </c>
      <c r="Z14" s="10" t="s">
        <v>171</v>
      </c>
    </row>
    <row r="15" spans="1:29"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row>
    <row r="16" spans="1:29"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16">
        <v>1</v>
      </c>
      <c r="AB16" s="2" t="s">
        <v>179</v>
      </c>
      <c r="AC16" s="18">
        <f>Z16/$Z$20</f>
        <v>6.25E-2</v>
      </c>
    </row>
    <row r="17" spans="1:29"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176</v>
      </c>
      <c r="Z17" s="16">
        <v>11</v>
      </c>
      <c r="AB17" s="2" t="s">
        <v>176</v>
      </c>
      <c r="AC17" s="18">
        <f t="shared" ref="AC17:AC20" si="1">Z17/$Z$20</f>
        <v>0.6875</v>
      </c>
    </row>
    <row r="18" spans="1:29"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16">
        <v>3</v>
      </c>
      <c r="AB18" s="2" t="s">
        <v>177</v>
      </c>
      <c r="AC18" s="18">
        <f t="shared" si="1"/>
        <v>0.1875</v>
      </c>
    </row>
    <row r="19" spans="1:29" x14ac:dyDescent="0.25">
      <c r="A19" s="2" t="s">
        <v>75</v>
      </c>
      <c r="B19" s="6">
        <v>87000000</v>
      </c>
      <c r="C19" s="6">
        <v>31300000</v>
      </c>
      <c r="D19" s="6">
        <v>118300000</v>
      </c>
      <c r="F19" s="2" t="s">
        <v>75</v>
      </c>
      <c r="G19" s="6">
        <f t="shared" si="0"/>
        <v>-55700000</v>
      </c>
      <c r="O19" s="15" t="s">
        <v>164</v>
      </c>
      <c r="P19" s="6">
        <v>553200000</v>
      </c>
      <c r="R19" s="12" t="s">
        <v>164</v>
      </c>
      <c r="S19" s="14">
        <f>P19/$P$19</f>
        <v>1</v>
      </c>
      <c r="Y19" s="2" t="s">
        <v>178</v>
      </c>
      <c r="Z19" s="16">
        <v>1</v>
      </c>
      <c r="AB19" s="2" t="s">
        <v>178</v>
      </c>
      <c r="AC19" s="18">
        <f t="shared" si="1"/>
        <v>6.25E-2</v>
      </c>
    </row>
    <row r="20" spans="1:29" x14ac:dyDescent="0.25">
      <c r="A20" s="2" t="s">
        <v>93</v>
      </c>
      <c r="B20" s="6">
        <v>133800000</v>
      </c>
      <c r="C20" s="6">
        <v>95000000</v>
      </c>
      <c r="D20" s="6">
        <v>228800000</v>
      </c>
      <c r="F20" s="2" t="s">
        <v>93</v>
      </c>
      <c r="G20" s="6">
        <f t="shared" si="0"/>
        <v>-38800000</v>
      </c>
      <c r="Y20" s="2" t="s">
        <v>164</v>
      </c>
      <c r="Z20" s="16">
        <v>16</v>
      </c>
      <c r="AB20" s="12" t="s">
        <v>164</v>
      </c>
      <c r="AC20" s="17">
        <f t="shared" si="1"/>
        <v>1</v>
      </c>
    </row>
    <row r="21" spans="1:29" x14ac:dyDescent="0.25">
      <c r="A21" s="2" t="s">
        <v>109</v>
      </c>
      <c r="B21" s="6">
        <v>106000000</v>
      </c>
      <c r="C21" s="6">
        <v>13500000</v>
      </c>
      <c r="D21" s="6">
        <v>119500000</v>
      </c>
      <c r="F21" s="2" t="s">
        <v>109</v>
      </c>
      <c r="G21" s="6">
        <f t="shared" si="0"/>
        <v>-92500000</v>
      </c>
    </row>
    <row r="22" spans="1:29"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4"/>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3"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2026-06-22T22:38:27Z</dcterms:modified>
</cp:coreProperties>
</file>