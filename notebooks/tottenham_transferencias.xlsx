
<file path=[Content_Types].xml><?xml version="1.0" encoding="utf-8"?>
<Types xmlns="http://schemas.openxmlformats.org/package/2006/content-types">
  <Default Extension="bin" ContentType="application/vnd.openxmlformats-officedocument.spreadsheetml.printerSettings"/>
  <Default Extension="jp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hidePivotFieldList="1"/>
  <mc:AlternateContent xmlns:mc="http://schemas.openxmlformats.org/markup-compatibility/2006">
    <mc:Choice Requires="x15">
      <x15ac:absPath xmlns:x15ac="http://schemas.microsoft.com/office/spreadsheetml/2010/11/ac" url="C:\Users\kaike\OneDrive\Documentos\GitHub\projeto-tottenham\notebooks\"/>
    </mc:Choice>
  </mc:AlternateContent>
  <xr:revisionPtr revIDLastSave="0" documentId="13_ncr:1_{A34317A1-8EC2-4DA9-9BB6-38844348299A}" xr6:coauthVersionLast="47" xr6:coauthVersionMax="47" xr10:uidLastSave="{00000000-0000-0000-0000-000000000000}"/>
  <bookViews>
    <workbookView xWindow="-120" yWindow="-120" windowWidth="20730" windowHeight="11040" activeTab="3" xr2:uid="{00000000-000D-0000-FFFF-FFFF00000000}"/>
  </bookViews>
  <sheets>
    <sheet name="Apresentação" sheetId="3" r:id="rId1"/>
    <sheet name="Dados Brutos" sheetId="1" r:id="rId2"/>
    <sheet name="Dados Tratados" sheetId="4" r:id="rId3"/>
    <sheet name="Análises" sheetId="6" r:id="rId4"/>
    <sheet name="Anotações" sheetId="5" r:id="rId5"/>
  </sheets>
  <definedNames>
    <definedName name="_xlnm._FilterDatabase" localSheetId="2" hidden="1">'Dados Tratados'!$A$2:$I$24</definedName>
  </definedNames>
  <calcPr calcId="191029"/>
  <pivotCaches>
    <pivotCache cacheId="0" r:id="rId6"/>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S16" i="6" l="1"/>
  <c r="S17" i="6"/>
  <c r="S18" i="6"/>
  <c r="S19" i="6"/>
  <c r="G22" i="6"/>
  <c r="G17" i="6"/>
  <c r="G18" i="6"/>
  <c r="G19" i="6"/>
  <c r="G20" i="6"/>
  <c r="G21" i="6"/>
  <c r="G16" i="6"/>
  <c r="H5" i="6"/>
  <c r="G5" i="6"/>
  <c r="F5" i="6"/>
  <c r="E5" i="6"/>
  <c r="D5" i="6"/>
  <c r="C5" i="6"/>
</calcChain>
</file>

<file path=xl/sharedStrings.xml><?xml version="1.0" encoding="utf-8"?>
<sst xmlns="http://schemas.openxmlformats.org/spreadsheetml/2006/main" count="416" uniqueCount="173">
  <si>
    <t>temporada</t>
  </si>
  <si>
    <t>tipo_mov</t>
  </si>
  <si>
    <t>nome_jogador</t>
  </si>
  <si>
    <t>posição</t>
  </si>
  <si>
    <t>nacionalidade</t>
  </si>
  <si>
    <t>clube</t>
  </si>
  <si>
    <t>valor_transferencia</t>
  </si>
  <si>
    <t>idade</t>
  </si>
  <si>
    <t>tipo_negociacao</t>
  </si>
  <si>
    <t>2019/20</t>
  </si>
  <si>
    <t>entrada</t>
  </si>
  <si>
    <t>Tanguy Ndombele</t>
  </si>
  <si>
    <t>meio campo</t>
  </si>
  <si>
    <t>França</t>
  </si>
  <si>
    <t>Lyon</t>
  </si>
  <si>
    <t>62000000</t>
  </si>
  <si>
    <t>Compra</t>
  </si>
  <si>
    <t>2019-20</t>
  </si>
  <si>
    <t>Entrada</t>
  </si>
  <si>
    <t xml:space="preserve">Steven Bergwijn </t>
  </si>
  <si>
    <t>PONTA</t>
  </si>
  <si>
    <t>holanda</t>
  </si>
  <si>
    <t>PSV Eindhoven</t>
  </si>
  <si>
    <t>€30M</t>
  </si>
  <si>
    <t>22</t>
  </si>
  <si>
    <t>compra</t>
  </si>
  <si>
    <t xml:space="preserve">2019/20 </t>
  </si>
  <si>
    <t>saida</t>
  </si>
  <si>
    <t>Christian Eriksen</t>
  </si>
  <si>
    <t>Meia</t>
  </si>
  <si>
    <t>Dinamarca</t>
  </si>
  <si>
    <t>Inter de Milão</t>
  </si>
  <si>
    <t>27 milhões</t>
  </si>
  <si>
    <t>Venda</t>
  </si>
  <si>
    <t>2020/21</t>
  </si>
  <si>
    <t>Pierre Emile Højbjerg</t>
  </si>
  <si>
    <t>volante</t>
  </si>
  <si>
    <t>dinamarca</t>
  </si>
  <si>
    <t>Southampton</t>
  </si>
  <si>
    <t>16.6m</t>
  </si>
  <si>
    <t>COMPRA</t>
  </si>
  <si>
    <t>2020_21</t>
  </si>
  <si>
    <t xml:space="preserve"> Sergio Reguilón</t>
  </si>
  <si>
    <t>Lateral-esquerdo</t>
  </si>
  <si>
    <t>Espanha</t>
  </si>
  <si>
    <t>Real Madrid</t>
  </si>
  <si>
    <t>30000000</t>
  </si>
  <si>
    <t>23 anos</t>
  </si>
  <si>
    <t>Saída</t>
  </si>
  <si>
    <t>Jan Vertonghen</t>
  </si>
  <si>
    <t>ZAG</t>
  </si>
  <si>
    <t>Bélgica</t>
  </si>
  <si>
    <t>Benfica</t>
  </si>
  <si>
    <t>Livre</t>
  </si>
  <si>
    <t>fim contrato</t>
  </si>
  <si>
    <t>2021/22</t>
  </si>
  <si>
    <t>Cristian Romero</t>
  </si>
  <si>
    <t>zagueiro</t>
  </si>
  <si>
    <t>argentina</t>
  </si>
  <si>
    <t>Atalanta</t>
  </si>
  <si>
    <t>52M EUR</t>
  </si>
  <si>
    <t>2021-22</t>
  </si>
  <si>
    <t>Dejan Kulusevski</t>
  </si>
  <si>
    <t>Ponta direita</t>
  </si>
  <si>
    <t>Suécia</t>
  </si>
  <si>
    <t>Juventus</t>
  </si>
  <si>
    <t>loan</t>
  </si>
  <si>
    <t>emprestimo</t>
  </si>
  <si>
    <t>Saida</t>
  </si>
  <si>
    <t>Toby Alderweireld</t>
  </si>
  <si>
    <t>Defensor</t>
  </si>
  <si>
    <t>Belgica</t>
  </si>
  <si>
    <t>Al Duhail</t>
  </si>
  <si>
    <t>13.000.000</t>
  </si>
  <si>
    <t>VENDA</t>
  </si>
  <si>
    <t>2022/23</t>
  </si>
  <si>
    <t>Richarlison</t>
  </si>
  <si>
    <t>Atacante</t>
  </si>
  <si>
    <t>Brasil</t>
  </si>
  <si>
    <t>Everton</t>
  </si>
  <si>
    <t>58 mi</t>
  </si>
  <si>
    <t>2022/2023</t>
  </si>
  <si>
    <t>Yves Bissouma</t>
  </si>
  <si>
    <t>VOL</t>
  </si>
  <si>
    <t>Mali</t>
  </si>
  <si>
    <t>Brighton</t>
  </si>
  <si>
    <t>€29.000.000</t>
  </si>
  <si>
    <t>25</t>
  </si>
  <si>
    <t>Steven Bergwijn</t>
  </si>
  <si>
    <t>winger</t>
  </si>
  <si>
    <t>Holanda</t>
  </si>
  <si>
    <t>Ajax</t>
  </si>
  <si>
    <t>31,3M</t>
  </si>
  <si>
    <t>2023/24</t>
  </si>
  <si>
    <t>ENTRADA</t>
  </si>
  <si>
    <t>James Maddison</t>
  </si>
  <si>
    <t>meio-campo</t>
  </si>
  <si>
    <t>Inglaterra</t>
  </si>
  <si>
    <t>Leicester City</t>
  </si>
  <si>
    <t>46300000</t>
  </si>
  <si>
    <t>Micky van de Ven</t>
  </si>
  <si>
    <t xml:space="preserve">zagueiro </t>
  </si>
  <si>
    <t>Wolfsburg</t>
  </si>
  <si>
    <t>40M</t>
  </si>
  <si>
    <t>Harry Kane</t>
  </si>
  <si>
    <t>Centroavante</t>
  </si>
  <si>
    <t xml:space="preserve"> Inglaterra</t>
  </si>
  <si>
    <t>Bayern</t>
  </si>
  <si>
    <t>95000000</t>
  </si>
  <si>
    <t>2024/25</t>
  </si>
  <si>
    <t>Dominic Solanke</t>
  </si>
  <si>
    <t>ATA</t>
  </si>
  <si>
    <t>Bournemouth</t>
  </si>
  <si>
    <t>65 milhões</t>
  </si>
  <si>
    <t>Archie Gray</t>
  </si>
  <si>
    <t>Meio Campo</t>
  </si>
  <si>
    <t>inglaterra</t>
  </si>
  <si>
    <t>Leeds United</t>
  </si>
  <si>
    <t>41m</t>
  </si>
  <si>
    <t>18</t>
  </si>
  <si>
    <t>Pierre-Emile Hojbjerg</t>
  </si>
  <si>
    <t>Marseille</t>
  </si>
  <si>
    <t>13.5M</t>
  </si>
  <si>
    <t>Ivan Perisic</t>
  </si>
  <si>
    <t>Croácia</t>
  </si>
  <si>
    <t>Inter</t>
  </si>
  <si>
    <t>Entrda</t>
  </si>
  <si>
    <t>Rodrigo Bentancur</t>
  </si>
  <si>
    <t>meiocampo</t>
  </si>
  <si>
    <t>Uruguai</t>
  </si>
  <si>
    <t>19000000</t>
  </si>
  <si>
    <t>Matt Doherty</t>
  </si>
  <si>
    <t>Irlanda</t>
  </si>
  <si>
    <t>Lateral</t>
  </si>
  <si>
    <t>Wolves</t>
  </si>
  <si>
    <t>16.8M</t>
  </si>
  <si>
    <t>Brennan Johnson</t>
  </si>
  <si>
    <t>Ponta</t>
  </si>
  <si>
    <t>País de Gales</t>
  </si>
  <si>
    <t>Nottingham Forest</t>
  </si>
  <si>
    <t>tipo_movimentação</t>
  </si>
  <si>
    <t>valor_transferência</t>
  </si>
  <si>
    <t>tipo_negociação</t>
  </si>
  <si>
    <t>Qualitativa Ordinal</t>
  </si>
  <si>
    <t>Qualitativa Nominal</t>
  </si>
  <si>
    <t>Quantitativa Contínua</t>
  </si>
  <si>
    <t>Quantitativa Discreta</t>
  </si>
  <si>
    <t>Tanguy Ndombélé</t>
  </si>
  <si>
    <t>Ivan Perišić</t>
  </si>
  <si>
    <t>Pierre-Emile Højbjerg</t>
  </si>
  <si>
    <t>Sergio Reguilón</t>
  </si>
  <si>
    <t>Argentina</t>
  </si>
  <si>
    <t>País De Gales</t>
  </si>
  <si>
    <t>Inter Milan</t>
  </si>
  <si>
    <t>Bayern München</t>
  </si>
  <si>
    <t>Olympique Marseille</t>
  </si>
  <si>
    <t>Meio-campista</t>
  </si>
  <si>
    <t>Empréstimo</t>
  </si>
  <si>
    <t>Total de Transferências</t>
  </si>
  <si>
    <t>Total de Entradas</t>
  </si>
  <si>
    <t>Total de Saídas</t>
  </si>
  <si>
    <t>Total de Jogadores</t>
  </si>
  <si>
    <t>Total de Nacionalidades</t>
  </si>
  <si>
    <t>Idade Média dos Jogadores</t>
  </si>
  <si>
    <t>Total Geral</t>
  </si>
  <si>
    <t>Temporadas</t>
  </si>
  <si>
    <t/>
  </si>
  <si>
    <t>Somas de Entradas e Saídas</t>
  </si>
  <si>
    <t>Saldo por Temporada</t>
  </si>
  <si>
    <t>Posições</t>
  </si>
  <si>
    <t>Soma do Valor das Transferências</t>
  </si>
  <si>
    <t>Tipo de Movimentação</t>
  </si>
  <si>
    <t>Porcentagem (%) do 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</si>
</sst>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809]#,##0.00"/>
    <numFmt numFmtId="165" formatCode="0.0%"/>
  </numFmts>
  <fonts count="4" x14ac:knownFonts="1">
    <font>
      <sz val="11"/>
      <color theme="1"/>
      <name val="Calibri"/>
      <family val="2"/>
      <scheme val="minor"/>
    </font>
    <font>
      <b/>
      <sz val="11"/>
      <name val="Calibri"/>
    </font>
    <font>
      <b/>
      <sz val="11"/>
      <name val="Calibri"/>
      <family val="2"/>
    </font>
    <font>
      <b/>
      <sz val="11"/>
      <color theme="1"/>
      <name val="Calibri"/>
      <family val="2"/>
      <scheme val="minor"/>
    </font>
  </fonts>
  <fills count="3">
    <fill>
      <patternFill patternType="none"/>
    </fill>
    <fill>
      <patternFill patternType="gray125"/>
    </fill>
    <fill>
      <patternFill patternType="solid">
        <fgColor theme="4" tint="0.79998168889431442"/>
        <bgColor indexed="64"/>
      </patternFill>
    </fill>
  </fills>
  <borders count="1">
    <border>
      <left/>
      <right/>
      <top/>
      <bottom/>
      <diagonal/>
    </border>
  </borders>
  <cellStyleXfs count="1">
    <xf numFmtId="0" fontId="0" fillId="0" borderId="0"/>
  </cellStyleXfs>
  <cellXfs count="15">
    <xf numFmtId="0" fontId="0" fillId="0" borderId="0" xfId="0"/>
    <xf numFmtId="0" fontId="1" fillId="0" borderId="0" xfId="0" applyFont="1"/>
    <xf numFmtId="0" fontId="0" fillId="0" borderId="0" xfId="0" applyAlignment="1">
      <alignment horizontal="center"/>
    </xf>
    <xf numFmtId="0" fontId="1" fillId="0" borderId="0" xfId="0" applyFont="1" applyAlignment="1">
      <alignment horizontal="center"/>
    </xf>
    <xf numFmtId="0" fontId="2" fillId="0" borderId="0" xfId="0" applyFont="1" applyAlignment="1">
      <alignment horizontal="center"/>
    </xf>
    <xf numFmtId="1" fontId="0" fillId="0" borderId="0" xfId="0" applyNumberFormat="1" applyAlignment="1">
      <alignment horizontal="center"/>
    </xf>
    <xf numFmtId="164" fontId="0" fillId="0" borderId="0" xfId="0" applyNumberFormat="1" applyAlignment="1">
      <alignment horizontal="center"/>
    </xf>
    <xf numFmtId="0" fontId="3" fillId="0" borderId="0" xfId="0" applyFont="1" applyAlignment="1">
      <alignment horizontal="center"/>
    </xf>
    <xf numFmtId="0" fontId="0" fillId="0" borderId="0" xfId="0" pivotButton="1"/>
    <xf numFmtId="0" fontId="0" fillId="0" borderId="0" xfId="0" applyAlignment="1">
      <alignment horizontal="left"/>
    </xf>
    <xf numFmtId="0" fontId="0" fillId="0" borderId="0" xfId="0" pivotButton="1" applyAlignment="1">
      <alignment horizontal="center"/>
    </xf>
    <xf numFmtId="0" fontId="3" fillId="2" borderId="0" xfId="0" applyFont="1" applyFill="1" applyAlignment="1">
      <alignment horizontal="center"/>
    </xf>
    <xf numFmtId="0" fontId="3" fillId="2" borderId="0" xfId="0" applyFont="1" applyFill="1"/>
    <xf numFmtId="165" fontId="0" fillId="0" borderId="0" xfId="0" applyNumberFormat="1" applyAlignment="1">
      <alignment horizontal="center"/>
    </xf>
    <xf numFmtId="165" fontId="3" fillId="2" borderId="0" xfId="0" applyNumberFormat="1" applyFont="1" applyFill="1" applyAlignment="1">
      <alignment horizontal="center"/>
    </xf>
  </cellXfs>
  <cellStyles count="1">
    <cellStyle name="Normal" xfId="0" builtinId="0"/>
  </cellStyles>
  <dxfs count="15">
    <dxf>
      <alignment horizontal="general"/>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[tottenham_transferencias.xlsx]Análises!Tabela dinâmica1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t-BR"/>
              <a:t>Valores Provenientes</a:t>
            </a:r>
            <a:r>
              <a:rPr lang="pt-BR" baseline="0"/>
              <a:t> de</a:t>
            </a:r>
            <a:r>
              <a:rPr lang="pt-BR"/>
              <a:t> Entradas</a:t>
            </a:r>
            <a:r>
              <a:rPr lang="pt-BR" baseline="0"/>
              <a:t> e Saídas</a:t>
            </a:r>
            <a:r>
              <a:rPr lang="pt-BR"/>
              <a:t> por Temporada (</a:t>
            </a:r>
            <a:r>
              <a:rPr lang="pt-BR" sz="1400" b="0" i="0" u="none" strike="noStrike" baseline="0"/>
              <a:t>£</a:t>
            </a:r>
            <a:r>
              <a:rPr lang="pt-BR"/>
              <a: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chemeClr val="accent1"/>
          </a:solidFill>
          <a:ln>
            <a:noFill/>
          </a:ln>
          <a:effectLst/>
        </c:spPr>
        <c:marker>
          <c:symbol val="none"/>
        </c:marker>
        <c:dLbl>
          <c:idx val="0"/>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Análises!$B$14:$B$15</c:f>
              <c:strCache>
                <c:ptCount val="1"/>
                <c:pt idx="0">
                  <c:v>Entrada</c:v>
                </c:pt>
              </c:strCache>
            </c:strRef>
          </c:tx>
          <c:spPr>
            <a:solidFill>
              <a:schemeClr val="accent1"/>
            </a:solidFill>
            <a:ln>
              <a:noFill/>
            </a:ln>
            <a:effectLst/>
          </c:spPr>
          <c:invertIfNegative val="0"/>
          <c:dLbls>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Análises!$A$16:$A$22</c:f>
              <c:strCache>
                <c:ptCount val="6"/>
                <c:pt idx="0">
                  <c:v>2019/20</c:v>
                </c:pt>
                <c:pt idx="1">
                  <c:v>2020/21</c:v>
                </c:pt>
                <c:pt idx="2">
                  <c:v>2021/22</c:v>
                </c:pt>
                <c:pt idx="3">
                  <c:v>2022/23</c:v>
                </c:pt>
                <c:pt idx="4">
                  <c:v>2023/24</c:v>
                </c:pt>
                <c:pt idx="5">
                  <c:v>2024/25</c:v>
                </c:pt>
              </c:strCache>
            </c:strRef>
          </c:cat>
          <c:val>
            <c:numRef>
              <c:f>Análises!$B$16:$B$22</c:f>
              <c:numCache>
                <c:formatCode>[$£-809]#,##0.00</c:formatCode>
                <c:ptCount val="6"/>
                <c:pt idx="0">
                  <c:v>92000000</c:v>
                </c:pt>
                <c:pt idx="1">
                  <c:v>63400000</c:v>
                </c:pt>
                <c:pt idx="2">
                  <c:v>71000000</c:v>
                </c:pt>
                <c:pt idx="3">
                  <c:v>87000000</c:v>
                </c:pt>
                <c:pt idx="4">
                  <c:v>133800000</c:v>
                </c:pt>
                <c:pt idx="5">
                  <c:v>106000000</c:v>
                </c:pt>
              </c:numCache>
            </c:numRef>
          </c:val>
          <c:extLst>
            <c:ext xmlns:c16="http://schemas.microsoft.com/office/drawing/2014/chart" uri="{C3380CC4-5D6E-409C-BE32-E72D297353CC}">
              <c16:uniqueId val="{00000000-5D17-42E1-897A-3727A62A8404}"/>
            </c:ext>
          </c:extLst>
        </c:ser>
        <c:ser>
          <c:idx val="1"/>
          <c:order val="1"/>
          <c:tx>
            <c:strRef>
              <c:f>Análises!$C$14:$C$15</c:f>
              <c:strCache>
                <c:ptCount val="1"/>
                <c:pt idx="0">
                  <c:v>Saída</c:v>
                </c:pt>
              </c:strCache>
            </c:strRef>
          </c:tx>
          <c:spPr>
            <a:solidFill>
              <a:schemeClr val="accent2"/>
            </a:solidFill>
            <a:ln>
              <a:noFill/>
            </a:ln>
            <a:effectLst/>
          </c:spPr>
          <c:invertIfNegative val="0"/>
          <c:dLbls>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Análises!$A$16:$A$22</c:f>
              <c:strCache>
                <c:ptCount val="6"/>
                <c:pt idx="0">
                  <c:v>2019/20</c:v>
                </c:pt>
                <c:pt idx="1">
                  <c:v>2020/21</c:v>
                </c:pt>
                <c:pt idx="2">
                  <c:v>2021/22</c:v>
                </c:pt>
                <c:pt idx="3">
                  <c:v>2022/23</c:v>
                </c:pt>
                <c:pt idx="4">
                  <c:v>2023/24</c:v>
                </c:pt>
                <c:pt idx="5">
                  <c:v>2024/25</c:v>
                </c:pt>
              </c:strCache>
            </c:strRef>
          </c:cat>
          <c:val>
            <c:numRef>
              <c:f>Análises!$C$16:$C$22</c:f>
              <c:numCache>
                <c:formatCode>[$£-809]#,##0.00</c:formatCode>
                <c:ptCount val="6"/>
                <c:pt idx="0">
                  <c:v>27000000</c:v>
                </c:pt>
                <c:pt idx="1">
                  <c:v>0</c:v>
                </c:pt>
                <c:pt idx="2">
                  <c:v>13000000</c:v>
                </c:pt>
                <c:pt idx="3">
                  <c:v>31300000</c:v>
                </c:pt>
                <c:pt idx="4">
                  <c:v>95000000</c:v>
                </c:pt>
                <c:pt idx="5">
                  <c:v>13500000</c:v>
                </c:pt>
              </c:numCache>
            </c:numRef>
          </c:val>
          <c:extLst>
            <c:ext xmlns:c16="http://schemas.microsoft.com/office/drawing/2014/chart" uri="{C3380CC4-5D6E-409C-BE32-E72D297353CC}">
              <c16:uniqueId val="{00000001-5D17-42E1-897A-3727A62A8404}"/>
            </c:ext>
          </c:extLst>
        </c:ser>
        <c:dLbls>
          <c:dLblPos val="outEnd"/>
          <c:showLegendKey val="0"/>
          <c:showVal val="1"/>
          <c:showCatName val="0"/>
          <c:showSerName val="0"/>
          <c:showPercent val="0"/>
          <c:showBubbleSize val="0"/>
        </c:dLbls>
        <c:gapWidth val="219"/>
        <c:overlap val="-27"/>
        <c:axId val="1745656976"/>
        <c:axId val="1745657936"/>
      </c:barChart>
      <c:catAx>
        <c:axId val="1745656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745657936"/>
        <c:crosses val="autoZero"/>
        <c:auto val="1"/>
        <c:lblAlgn val="ctr"/>
        <c:lblOffset val="100"/>
        <c:noMultiLvlLbl val="0"/>
      </c:catAx>
      <c:valAx>
        <c:axId val="1745657936"/>
        <c:scaling>
          <c:orientation val="minMax"/>
        </c:scaling>
        <c:delete val="0"/>
        <c:axPos val="l"/>
        <c:majorGridlines>
          <c:spPr>
            <a:ln w="9525" cap="flat" cmpd="sng" algn="ctr">
              <a:solidFill>
                <a:schemeClr val="tx1">
                  <a:lumMod val="15000"/>
                  <a:lumOff val="85000"/>
                </a:schemeClr>
              </a:solidFill>
              <a:round/>
            </a:ln>
            <a:effectLst/>
          </c:spPr>
        </c:majorGridlines>
        <c:numFmt formatCode="[$£-809]#,##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74565697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barChart>
        <c:barDir val="col"/>
        <c:grouping val="clustered"/>
        <c:varyColors val="0"/>
        <c:ser>
          <c:idx val="0"/>
          <c:order val="0"/>
          <c:tx>
            <c:strRef>
              <c:f>Análises!$G$15</c:f>
              <c:strCache>
                <c:ptCount val="1"/>
                <c:pt idx="0">
                  <c:v>Saldo por Temporada</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Análises!$F$16:$F$22</c:f>
              <c:strCache>
                <c:ptCount val="7"/>
                <c:pt idx="0">
                  <c:v>2019/20</c:v>
                </c:pt>
                <c:pt idx="1">
                  <c:v>2020/21</c:v>
                </c:pt>
                <c:pt idx="2">
                  <c:v>2021/22</c:v>
                </c:pt>
                <c:pt idx="3">
                  <c:v>2022/23</c:v>
                </c:pt>
                <c:pt idx="4">
                  <c:v>2023/24</c:v>
                </c:pt>
                <c:pt idx="5">
                  <c:v>2024/25</c:v>
                </c:pt>
                <c:pt idx="6">
                  <c:v>Total Geral</c:v>
                </c:pt>
              </c:strCache>
            </c:strRef>
          </c:cat>
          <c:val>
            <c:numRef>
              <c:f>Análises!$G$16:$G$22</c:f>
              <c:numCache>
                <c:formatCode>[$£-809]#,##0.00</c:formatCode>
                <c:ptCount val="7"/>
                <c:pt idx="0">
                  <c:v>-65000000</c:v>
                </c:pt>
                <c:pt idx="1">
                  <c:v>-63400000</c:v>
                </c:pt>
                <c:pt idx="2">
                  <c:v>-58000000</c:v>
                </c:pt>
                <c:pt idx="3">
                  <c:v>-55700000</c:v>
                </c:pt>
                <c:pt idx="4">
                  <c:v>-38800000</c:v>
                </c:pt>
                <c:pt idx="5">
                  <c:v>-92500000</c:v>
                </c:pt>
                <c:pt idx="6">
                  <c:v>-373400000</c:v>
                </c:pt>
              </c:numCache>
            </c:numRef>
          </c:val>
          <c:extLst>
            <c:ext xmlns:c16="http://schemas.microsoft.com/office/drawing/2014/chart" uri="{C3380CC4-5D6E-409C-BE32-E72D297353CC}">
              <c16:uniqueId val="{00000000-EF0E-4C2E-A93D-61AB7162C937}"/>
            </c:ext>
          </c:extLst>
        </c:ser>
        <c:dLbls>
          <c:showLegendKey val="0"/>
          <c:showVal val="0"/>
          <c:showCatName val="0"/>
          <c:showSerName val="0"/>
          <c:showPercent val="0"/>
          <c:showBubbleSize val="0"/>
        </c:dLbls>
        <c:gapWidth val="219"/>
        <c:overlap val="-27"/>
        <c:axId val="1861808064"/>
        <c:axId val="1861817184"/>
      </c:barChart>
      <c:catAx>
        <c:axId val="1861808064"/>
        <c:scaling>
          <c:orientation val="minMax"/>
        </c:scaling>
        <c:delete val="0"/>
        <c:axPos val="b"/>
        <c:numFmt formatCode="General" sourceLinked="1"/>
        <c:majorTickMark val="none"/>
        <c:minorTickMark val="none"/>
        <c:tickLblPos val="high"/>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861817184"/>
        <c:crosses val="autoZero"/>
        <c:auto val="1"/>
        <c:lblAlgn val="ctr"/>
        <c:lblOffset val="100"/>
        <c:noMultiLvlLbl val="0"/>
      </c:catAx>
      <c:valAx>
        <c:axId val="1861817184"/>
        <c:scaling>
          <c:orientation val="minMax"/>
        </c:scaling>
        <c:delete val="0"/>
        <c:axPos val="l"/>
        <c:majorGridlines>
          <c:spPr>
            <a:ln w="9525" cap="flat" cmpd="sng" algn="ctr">
              <a:solidFill>
                <a:schemeClr val="tx1">
                  <a:lumMod val="15000"/>
                  <a:lumOff val="85000"/>
                </a:schemeClr>
              </a:solidFill>
              <a:round/>
            </a:ln>
            <a:effectLst/>
          </c:spPr>
        </c:majorGridlines>
        <c:numFmt formatCode="[$£-809]#,##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861808064"/>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[tottenham_transferencias.xlsx]Análises!Tabela dinâmica2</c:name>
    <c:fmtId val="1"/>
  </c:pivotSource>
  <c:chart>
    <c:title>
      <c:tx>
        <c:rich>
          <a:bodyPr rot="0" spcFirstLastPara="1" vertOverflow="ellipsis" vert="horz" wrap="square" anchor="ctr" anchorCtr="1"/>
          <a:lstStyle/>
          <a:p>
            <a:pPr algn="ctr">
              <a:defRPr sz="1400" b="0" i="0" u="none" strike="noStrike" kern="1200" spc="0" baseline="0">
                <a:solidFill>
                  <a:schemeClr val="tx1">
                    <a:lumMod val="65000"/>
                    <a:lumOff val="35000"/>
                  </a:schemeClr>
                </a:solidFill>
                <a:latin typeface="+mn-lt"/>
                <a:ea typeface="+mn-ea"/>
                <a:cs typeface="+mn-cs"/>
              </a:defRPr>
            </a:pPr>
            <a:r>
              <a:rPr lang="en-US" sz="1600"/>
              <a:t>Investimento em Contratações por Posição (</a:t>
            </a:r>
            <a:r>
              <a:rPr lang="pt-BR" sz="1400" b="0" i="0" u="none" strike="noStrike" baseline="0"/>
              <a:t>£</a:t>
            </a:r>
            <a:r>
              <a:rPr lang="en-US" sz="1600"/>
              <a:t>)</a:t>
            </a:r>
          </a:p>
        </c:rich>
      </c:tx>
      <c:layout>
        <c:manualLayout>
          <c:xMode val="edge"/>
          <c:yMode val="edge"/>
          <c:x val="0.24912677109377995"/>
          <c:y val="8.0940964613755467E-2"/>
        </c:manualLayout>
      </c:layout>
      <c:overlay val="0"/>
      <c:spPr>
        <a:noFill/>
        <a:ln>
          <a:noFill/>
        </a:ln>
        <a:effectLst/>
      </c:spPr>
      <c:txPr>
        <a:bodyPr rot="0" spcFirstLastPara="1" vertOverflow="ellipsis" vert="horz" wrap="square" anchor="ctr" anchorCtr="1"/>
        <a:lstStyle/>
        <a:p>
          <a:pPr algn="ct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chemeClr val="accent1"/>
          </a:solidFill>
          <a:ln>
            <a:noFill/>
          </a:ln>
          <a:effectLst/>
        </c:spPr>
        <c:marker>
          <c:symbol val="none"/>
        </c:marker>
        <c:dLbl>
          <c:idx val="0"/>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Análises!$P$14:$P$15</c:f>
              <c:strCache>
                <c:ptCount val="1"/>
                <c:pt idx="0">
                  <c:v>Entrada</c:v>
                </c:pt>
              </c:strCache>
            </c:strRef>
          </c:tx>
          <c:spPr>
            <a:solidFill>
              <a:schemeClr val="accent1"/>
            </a:solidFill>
            <a:ln>
              <a:noFill/>
            </a:ln>
            <a:effectLst/>
          </c:spPr>
          <c:invertIfNegative val="0"/>
          <c:dLbls>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Análises!$O$16:$O$19</c:f>
              <c:strCache>
                <c:ptCount val="3"/>
                <c:pt idx="0">
                  <c:v>Meio-campista</c:v>
                </c:pt>
                <c:pt idx="1">
                  <c:v>Atacante</c:v>
                </c:pt>
                <c:pt idx="2">
                  <c:v>Defensor</c:v>
                </c:pt>
              </c:strCache>
            </c:strRef>
          </c:cat>
          <c:val>
            <c:numRef>
              <c:f>Análises!$P$16:$P$19</c:f>
              <c:numCache>
                <c:formatCode>[$£-809]#,##0.00</c:formatCode>
                <c:ptCount val="3"/>
                <c:pt idx="0">
                  <c:v>213900000</c:v>
                </c:pt>
                <c:pt idx="1">
                  <c:v>200500000</c:v>
                </c:pt>
                <c:pt idx="2">
                  <c:v>138800000</c:v>
                </c:pt>
              </c:numCache>
            </c:numRef>
          </c:val>
          <c:extLst>
            <c:ext xmlns:c16="http://schemas.microsoft.com/office/drawing/2014/chart" uri="{C3380CC4-5D6E-409C-BE32-E72D297353CC}">
              <c16:uniqueId val="{00000000-DC21-4BC7-8EC9-C335B536B974}"/>
            </c:ext>
          </c:extLst>
        </c:ser>
        <c:dLbls>
          <c:showLegendKey val="0"/>
          <c:showVal val="0"/>
          <c:showCatName val="0"/>
          <c:showSerName val="0"/>
          <c:showPercent val="0"/>
          <c:showBubbleSize val="0"/>
        </c:dLbls>
        <c:gapWidth val="210"/>
        <c:axId val="67254543"/>
        <c:axId val="67257903"/>
      </c:barChart>
      <c:catAx>
        <c:axId val="6725454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67257903"/>
        <c:crosses val="autoZero"/>
        <c:auto val="1"/>
        <c:lblAlgn val="ctr"/>
        <c:lblOffset val="100"/>
        <c:noMultiLvlLbl val="0"/>
      </c:catAx>
      <c:valAx>
        <c:axId val="67257903"/>
        <c:scaling>
          <c:orientation val="minMax"/>
        </c:scaling>
        <c:delete val="0"/>
        <c:axPos val="b"/>
        <c:numFmt formatCode="[$£-809]#,##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6725454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Distribuição</a:t>
            </a:r>
            <a:r>
              <a:rPr lang="en-US" baseline="0"/>
              <a:t> do Investimento em Porcentagem (%)</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Análises!$S$15</c:f>
              <c:strCache>
                <c:ptCount val="1"/>
                <c:pt idx="0">
                  <c:v>Porcentagem (%) do 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CAE7-401C-9C6F-FAC5569D804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CAE7-401C-9C6F-FAC5569D804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CAE7-401C-9C6F-FAC5569D804B}"/>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extLst>
                <c:ext xmlns:c15="http://schemas.microsoft.com/office/drawing/2012/chart" uri="{02D57815-91ED-43cb-92C2-25804820EDAC}">
                  <c15:fullRef>
                    <c15:sqref>Análises!$R$16:$R$19</c15:sqref>
                  </c15:fullRef>
                </c:ext>
              </c:extLst>
              <c:f>Análises!$R$16:$R$18</c:f>
              <c:strCache>
                <c:ptCount val="3"/>
                <c:pt idx="0">
                  <c:v>Meio-campista</c:v>
                </c:pt>
                <c:pt idx="1">
                  <c:v>Atacante</c:v>
                </c:pt>
                <c:pt idx="2">
                  <c:v>Defensor</c:v>
                </c:pt>
              </c:strCache>
            </c:strRef>
          </c:cat>
          <c:val>
            <c:numRef>
              <c:extLst>
                <c:ext xmlns:c15="http://schemas.microsoft.com/office/drawing/2012/chart" uri="{02D57815-91ED-43cb-92C2-25804820EDAC}">
                  <c15:fullRef>
                    <c15:sqref>Análises!$S$16:$S$19</c15:sqref>
                  </c15:fullRef>
                </c:ext>
              </c:extLst>
              <c:f>Análises!$S$16:$S$18</c:f>
              <c:numCache>
                <c:formatCode>0.0%</c:formatCode>
                <c:ptCount val="3"/>
                <c:pt idx="0">
                  <c:v>0.3866594360086768</c:v>
                </c:pt>
                <c:pt idx="1">
                  <c:v>0.36243673174258856</c:v>
                </c:pt>
                <c:pt idx="2">
                  <c:v>0.25090383224873464</c:v>
                </c:pt>
              </c:numCache>
            </c:numRef>
          </c:val>
          <c:extLst>
            <c:ext xmlns:c15="http://schemas.microsoft.com/office/drawing/2012/chart" uri="{02D57815-91ED-43cb-92C2-25804820EDAC}">
              <c15:categoryFilterExceptions/>
            </c:ext>
            <c:ext xmlns:c16="http://schemas.microsoft.com/office/drawing/2014/chart" uri="{C3380CC4-5D6E-409C-BE32-E72D297353CC}">
              <c16:uniqueId val="{00000000-525E-4954-9D81-A75B41DC746C}"/>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hyperlink" Target="https://www.transfermarkt.com.br" TargetMode="External"/><Relationship Id="rId2" Type="http://schemas.openxmlformats.org/officeDocument/2006/relationships/image" Target="../media/image2.jpg"/><Relationship Id="rId1" Type="http://schemas.openxmlformats.org/officeDocument/2006/relationships/image" Target="../media/image1.png"/><Relationship Id="rId4" Type="http://schemas.openxmlformats.org/officeDocument/2006/relationships/hyperlink" Target="https://www.sofascore.com" TargetMode="External"/></Relationships>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2</xdr:col>
      <xdr:colOff>149317</xdr:colOff>
      <xdr:row>1</xdr:row>
      <xdr:rowOff>2597</xdr:rowOff>
    </xdr:from>
    <xdr:ext cx="8835496" cy="405432"/>
    <xdr:sp macro="" textlink="">
      <xdr:nvSpPr>
        <xdr:cNvPr id="2" name="CaixaDeTexto 1">
          <a:extLst>
            <a:ext uri="{FF2B5EF4-FFF2-40B4-BE49-F238E27FC236}">
              <a16:creationId xmlns:a16="http://schemas.microsoft.com/office/drawing/2014/main" id="{F16D9131-B0A3-F0E7-827F-539C48FC9E0C}"/>
            </a:ext>
          </a:extLst>
        </xdr:cNvPr>
        <xdr:cNvSpPr txBox="1"/>
      </xdr:nvSpPr>
      <xdr:spPr>
        <a:xfrm>
          <a:off x="1368517" y="193097"/>
          <a:ext cx="8835496"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a:t>Análise Financeira das Transferências do Tottenham Hotspur (2019/20 - 2025/26)</a:t>
          </a:r>
        </a:p>
      </xdr:txBody>
    </xdr:sp>
    <xdr:clientData/>
  </xdr:oneCellAnchor>
  <xdr:oneCellAnchor>
    <xdr:from>
      <xdr:col>0</xdr:col>
      <xdr:colOff>60614</xdr:colOff>
      <xdr:row>3</xdr:row>
      <xdr:rowOff>129886</xdr:rowOff>
    </xdr:from>
    <xdr:ext cx="1255344" cy="327141"/>
    <xdr:sp macro="" textlink="">
      <xdr:nvSpPr>
        <xdr:cNvPr id="3" name="CaixaDeTexto 2">
          <a:extLst>
            <a:ext uri="{FF2B5EF4-FFF2-40B4-BE49-F238E27FC236}">
              <a16:creationId xmlns:a16="http://schemas.microsoft.com/office/drawing/2014/main" id="{BC7727EF-C1D5-58F7-6A00-6791417BC2E5}"/>
            </a:ext>
          </a:extLst>
        </xdr:cNvPr>
        <xdr:cNvSpPr txBox="1"/>
      </xdr:nvSpPr>
      <xdr:spPr>
        <a:xfrm>
          <a:off x="60614" y="714375"/>
          <a:ext cx="1255344"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1. Introdução</a:t>
          </a:r>
        </a:p>
      </xdr:txBody>
    </xdr:sp>
    <xdr:clientData/>
  </xdr:oneCellAnchor>
  <xdr:oneCellAnchor>
    <xdr:from>
      <xdr:col>0</xdr:col>
      <xdr:colOff>60612</xdr:colOff>
      <xdr:row>6</xdr:row>
      <xdr:rowOff>43296</xdr:rowOff>
    </xdr:from>
    <xdr:ext cx="12331413" cy="1219565"/>
    <xdr:sp macro="" textlink="">
      <xdr:nvSpPr>
        <xdr:cNvPr id="4" name="CaixaDeTexto 3">
          <a:extLst>
            <a:ext uri="{FF2B5EF4-FFF2-40B4-BE49-F238E27FC236}">
              <a16:creationId xmlns:a16="http://schemas.microsoft.com/office/drawing/2014/main" id="{5D370021-CD04-67C3-5959-C83BAFFB0CE5}"/>
            </a:ext>
          </a:extLst>
        </xdr:cNvPr>
        <xdr:cNvSpPr txBox="1"/>
      </xdr:nvSpPr>
      <xdr:spPr>
        <a:xfrm>
          <a:off x="60612" y="1186296"/>
          <a:ext cx="12331413" cy="121956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O </a:t>
          </a:r>
          <a:r>
            <a:rPr lang="pt-BR" sz="1200" b="1"/>
            <a:t>Tottenham Hotspur </a:t>
          </a:r>
          <a:r>
            <a:rPr lang="pt-BR" sz="1200" b="0"/>
            <a:t>é um clube</a:t>
          </a:r>
          <a:r>
            <a:rPr lang="pt-BR" sz="1200" b="0" baseline="0"/>
            <a:t> profissional de futebol fundado em 1882, localizado em Londres, Inglaterra. Reconhecido historicamente por sua tradição no futebol inglês, o clube participa da </a:t>
          </a:r>
          <a:r>
            <a:rPr lang="pt-BR" sz="1200" b="1" baseline="0"/>
            <a:t>Premier League</a:t>
          </a:r>
          <a:r>
            <a:rPr lang="pt-BR" sz="1200" b="0" baseline="0"/>
            <a:t>, uma das ligas esportivas mais valiosas e competitivas do mundo.</a:t>
          </a:r>
        </a:p>
        <a:p>
          <a:pPr algn="l"/>
          <a:r>
            <a:rPr lang="pt-BR" sz="1200" b="0" baseline="0"/>
            <a:t>	Nas últimas temporadas, o Tottenham passou por importantes mudanças esportivas e financeiras, incluindo elevados investimentos no mercado de transferências, reformulação do elenco e negociações de grande impacto financeiro, como a venda de atletas estratégicos e a contratação de jogadores jovens com potencial de valorização.</a:t>
          </a:r>
        </a:p>
        <a:p>
          <a:pPr algn="l"/>
          <a:r>
            <a:rPr lang="pt-BR" sz="1200" b="0" baseline="0"/>
            <a:t>	Nesse contexto, o mercado de transferências tornou-se um dos principais pilares da gestão esportiva moderna, exigindo análises cada vez mais detalhadas sobre investimentos, vendas de jogadores e sustentabilidade financeira.</a:t>
          </a:r>
        </a:p>
      </xdr:txBody>
    </xdr:sp>
    <xdr:clientData/>
  </xdr:oneCellAnchor>
  <xdr:twoCellAnchor editAs="oneCell">
    <xdr:from>
      <xdr:col>2</xdr:col>
      <xdr:colOff>424297</xdr:colOff>
      <xdr:row>15</xdr:row>
      <xdr:rowOff>0</xdr:rowOff>
    </xdr:from>
    <xdr:to>
      <xdr:col>5</xdr:col>
      <xdr:colOff>595151</xdr:colOff>
      <xdr:row>36</xdr:row>
      <xdr:rowOff>99869</xdr:rowOff>
    </xdr:to>
    <xdr:pic>
      <xdr:nvPicPr>
        <xdr:cNvPr id="6" name="Imagem 5">
          <a:extLst>
            <a:ext uri="{FF2B5EF4-FFF2-40B4-BE49-F238E27FC236}">
              <a16:creationId xmlns:a16="http://schemas.microsoft.com/office/drawing/2014/main" id="{2537A6D7-BCAE-5EA4-9F35-2551E0933569}"/>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627455" y="2757237"/>
          <a:ext cx="1975591" cy="3960000"/>
        </a:xfrm>
        <a:prstGeom prst="rect">
          <a:avLst/>
        </a:prstGeom>
      </xdr:spPr>
    </xdr:pic>
    <xdr:clientData/>
  </xdr:twoCellAnchor>
  <xdr:twoCellAnchor editAs="oneCell">
    <xdr:from>
      <xdr:col>7</xdr:col>
      <xdr:colOff>602250</xdr:colOff>
      <xdr:row>14</xdr:row>
      <xdr:rowOff>113835</xdr:rowOff>
    </xdr:from>
    <xdr:to>
      <xdr:col>16</xdr:col>
      <xdr:colOff>471604</xdr:colOff>
      <xdr:row>35</xdr:row>
      <xdr:rowOff>177363</xdr:rowOff>
    </xdr:to>
    <xdr:pic>
      <xdr:nvPicPr>
        <xdr:cNvPr id="7" name="Imagem 6">
          <a:extLst>
            <a:ext uri="{FF2B5EF4-FFF2-40B4-BE49-F238E27FC236}">
              <a16:creationId xmlns:a16="http://schemas.microsoft.com/office/drawing/2014/main" id="{26EF4C72-DA2F-9572-BF40-30CA6DE32DEF}"/>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4888500" y="2733210"/>
          <a:ext cx="5380247" cy="3992591"/>
        </a:xfrm>
        <a:prstGeom prst="rect">
          <a:avLst/>
        </a:prstGeom>
        <a:effectLst>
          <a:softEdge rad="25400"/>
        </a:effectLst>
      </xdr:spPr>
    </xdr:pic>
    <xdr:clientData/>
  </xdr:twoCellAnchor>
  <xdr:oneCellAnchor>
    <xdr:from>
      <xdr:col>2</xdr:col>
      <xdr:colOff>297655</xdr:colOff>
      <xdr:row>37</xdr:row>
      <xdr:rowOff>51027</xdr:rowOff>
    </xdr:from>
    <xdr:ext cx="2289858" cy="264560"/>
    <xdr:sp macro="" textlink="">
      <xdr:nvSpPr>
        <xdr:cNvPr id="8" name="CaixaDeTexto 7">
          <a:extLst>
            <a:ext uri="{FF2B5EF4-FFF2-40B4-BE49-F238E27FC236}">
              <a16:creationId xmlns:a16="http://schemas.microsoft.com/office/drawing/2014/main" id="{BB783D0A-3520-A8FE-81DB-C9BEB8E65D78}"/>
            </a:ext>
          </a:extLst>
        </xdr:cNvPr>
        <xdr:cNvSpPr txBox="1"/>
      </xdr:nvSpPr>
      <xdr:spPr>
        <a:xfrm>
          <a:off x="1522298" y="6973661"/>
          <a:ext cx="2289858"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algn="ctr"/>
          <a:r>
            <a:rPr lang="pt-BR" sz="1100" i="1"/>
            <a:t>Escudo atual do Tottenham Hotspur</a:t>
          </a:r>
        </a:p>
      </xdr:txBody>
    </xdr:sp>
    <xdr:clientData/>
  </xdr:oneCellAnchor>
  <xdr:oneCellAnchor>
    <xdr:from>
      <xdr:col>8</xdr:col>
      <xdr:colOff>603817</xdr:colOff>
      <xdr:row>37</xdr:row>
      <xdr:rowOff>25513</xdr:rowOff>
    </xdr:from>
    <xdr:ext cx="3739485" cy="264560"/>
    <xdr:sp macro="" textlink="">
      <xdr:nvSpPr>
        <xdr:cNvPr id="9" name="CaixaDeTexto 8">
          <a:extLst>
            <a:ext uri="{FF2B5EF4-FFF2-40B4-BE49-F238E27FC236}">
              <a16:creationId xmlns:a16="http://schemas.microsoft.com/office/drawing/2014/main" id="{67C620EE-9B7E-6468-8F23-6D3ADB66F364}"/>
            </a:ext>
          </a:extLst>
        </xdr:cNvPr>
        <xdr:cNvSpPr txBox="1"/>
      </xdr:nvSpPr>
      <xdr:spPr>
        <a:xfrm>
          <a:off x="5502388" y="6948147"/>
          <a:ext cx="3739485"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algn="ctr"/>
          <a:r>
            <a:rPr lang="pt-BR" sz="1100" i="1"/>
            <a:t>Tottenham Hotspur Stadium,</a:t>
          </a:r>
          <a:r>
            <a:rPr lang="pt-BR" sz="1100" i="1" baseline="0"/>
            <a:t> atual estádio da equipe londrina</a:t>
          </a:r>
          <a:endParaRPr lang="pt-BR" sz="1100" i="1"/>
        </a:p>
      </xdr:txBody>
    </xdr:sp>
    <xdr:clientData/>
  </xdr:oneCellAnchor>
  <xdr:oneCellAnchor>
    <xdr:from>
      <xdr:col>0</xdr:col>
      <xdr:colOff>108659</xdr:colOff>
      <xdr:row>39</xdr:row>
      <xdr:rowOff>83622</xdr:rowOff>
    </xdr:from>
    <xdr:ext cx="1948482" cy="327141"/>
    <xdr:sp macro="" textlink="">
      <xdr:nvSpPr>
        <xdr:cNvPr id="10" name="CaixaDeTexto 9">
          <a:extLst>
            <a:ext uri="{FF2B5EF4-FFF2-40B4-BE49-F238E27FC236}">
              <a16:creationId xmlns:a16="http://schemas.microsoft.com/office/drawing/2014/main" id="{3B639A6B-6503-407B-8B08-590395381102}"/>
            </a:ext>
          </a:extLst>
        </xdr:cNvPr>
        <xdr:cNvSpPr txBox="1"/>
      </xdr:nvSpPr>
      <xdr:spPr>
        <a:xfrm>
          <a:off x="108659" y="7513122"/>
          <a:ext cx="1948482"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2. Objetivo do Projeto</a:t>
          </a:r>
        </a:p>
      </xdr:txBody>
    </xdr:sp>
    <xdr:clientData/>
  </xdr:oneCellAnchor>
  <xdr:oneCellAnchor>
    <xdr:from>
      <xdr:col>0</xdr:col>
      <xdr:colOff>224646</xdr:colOff>
      <xdr:row>41</xdr:row>
      <xdr:rowOff>143774</xdr:rowOff>
    </xdr:from>
    <xdr:ext cx="12148329" cy="655949"/>
    <xdr:sp macro="" textlink="">
      <xdr:nvSpPr>
        <xdr:cNvPr id="11" name="CaixaDeTexto 10">
          <a:extLst>
            <a:ext uri="{FF2B5EF4-FFF2-40B4-BE49-F238E27FC236}">
              <a16:creationId xmlns:a16="http://schemas.microsoft.com/office/drawing/2014/main" id="{0F6DB5F7-4374-4779-B699-DD037B1E2E2E}"/>
            </a:ext>
          </a:extLst>
        </xdr:cNvPr>
        <xdr:cNvSpPr txBox="1"/>
      </xdr:nvSpPr>
      <xdr:spPr>
        <a:xfrm>
          <a:off x="224646" y="7954274"/>
          <a:ext cx="12148329" cy="65594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Este projeto tem</a:t>
          </a:r>
          <a:r>
            <a:rPr lang="pt-BR" sz="1200" baseline="0"/>
            <a:t> como principal objetivo </a:t>
          </a:r>
          <a:r>
            <a:rPr lang="pt-BR" sz="1200" b="1" baseline="0"/>
            <a:t>analisar o comportamento financeiro</a:t>
          </a:r>
          <a:r>
            <a:rPr lang="pt-BR" sz="1200" b="0" baseline="0"/>
            <a:t> do Tottenham Hotspur no mercado de transferências entre as temporadas de 2019/20 e 2025/26, utilizando técnicas de limpeza, tratamento, exploração e visualização de dados.</a:t>
          </a:r>
        </a:p>
        <a:p>
          <a:pPr algn="l"/>
          <a:r>
            <a:rPr lang="pt-BR" sz="1200" b="0" baseline="0"/>
            <a:t>	A análise busca identificar padrões de investimento, tendências de mercado e possíveis estratégias adotadas pelo clube ao longo dos anos.</a:t>
          </a:r>
        </a:p>
      </xdr:txBody>
    </xdr:sp>
    <xdr:clientData/>
  </xdr:oneCellAnchor>
  <xdr:oneCellAnchor>
    <xdr:from>
      <xdr:col>0</xdr:col>
      <xdr:colOff>102895</xdr:colOff>
      <xdr:row>45</xdr:row>
      <xdr:rowOff>169347</xdr:rowOff>
    </xdr:from>
    <xdr:ext cx="2169569" cy="327141"/>
    <xdr:sp macro="" textlink="">
      <xdr:nvSpPr>
        <xdr:cNvPr id="12" name="CaixaDeTexto 11">
          <a:extLst>
            <a:ext uri="{FF2B5EF4-FFF2-40B4-BE49-F238E27FC236}">
              <a16:creationId xmlns:a16="http://schemas.microsoft.com/office/drawing/2014/main" id="{AB74C15D-C02A-4A02-84DD-B99CDAECFF78}"/>
            </a:ext>
          </a:extLst>
        </xdr:cNvPr>
        <xdr:cNvSpPr txBox="1"/>
      </xdr:nvSpPr>
      <xdr:spPr>
        <a:xfrm>
          <a:off x="102895" y="8741847"/>
          <a:ext cx="2169569"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3. Problemas do</a:t>
          </a:r>
          <a:r>
            <a:rPr lang="pt-BR" sz="1500" b="1" baseline="0"/>
            <a:t> Negócio</a:t>
          </a:r>
          <a:endParaRPr lang="pt-BR" sz="1500" b="1"/>
        </a:p>
      </xdr:txBody>
    </xdr:sp>
    <xdr:clientData/>
  </xdr:oneCellAnchor>
  <xdr:oneCellAnchor>
    <xdr:from>
      <xdr:col>0</xdr:col>
      <xdr:colOff>215121</xdr:colOff>
      <xdr:row>47</xdr:row>
      <xdr:rowOff>181874</xdr:rowOff>
    </xdr:from>
    <xdr:ext cx="12148329" cy="1783180"/>
    <xdr:sp macro="" textlink="">
      <xdr:nvSpPr>
        <xdr:cNvPr id="13" name="CaixaDeTexto 12">
          <a:extLst>
            <a:ext uri="{FF2B5EF4-FFF2-40B4-BE49-F238E27FC236}">
              <a16:creationId xmlns:a16="http://schemas.microsoft.com/office/drawing/2014/main" id="{79AD57C6-179F-4617-A9FA-C1D323C83959}"/>
            </a:ext>
          </a:extLst>
        </xdr:cNvPr>
        <xdr:cNvSpPr txBox="1"/>
      </xdr:nvSpPr>
      <xdr:spPr>
        <a:xfrm>
          <a:off x="215121" y="8975490"/>
          <a:ext cx="12148329" cy="178318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Durante a análise, serão investigadas algumas questões estratégicas relacionadas à</a:t>
          </a:r>
          <a:r>
            <a:rPr lang="pt-BR" sz="1200" baseline="0"/>
            <a:t> gestão financeira e esportiva do clube:</a:t>
          </a:r>
        </a:p>
        <a:p>
          <a:pPr algn="l"/>
          <a:endParaRPr lang="pt-BR" sz="1200" b="0" baseline="0"/>
        </a:p>
        <a:p>
          <a:pPr algn="l"/>
          <a:r>
            <a:rPr lang="pt-BR" sz="1200"/>
            <a:t>• </a:t>
          </a:r>
          <a:r>
            <a:rPr lang="pt-BR" sz="1200" b="1"/>
            <a:t>O Tottenham apresentou lucro ou prejuízo no mercado de transferências</a:t>
          </a:r>
          <a:r>
            <a:rPr lang="pt-BR" sz="1200" b="1" baseline="0"/>
            <a:t> ao longo das temporadas?</a:t>
          </a:r>
        </a:p>
        <a:p>
          <a:pPr algn="l"/>
          <a:r>
            <a:rPr lang="pt-BR" sz="1200"/>
            <a:t>• </a:t>
          </a:r>
          <a:r>
            <a:rPr lang="pt-BR" sz="1200" b="1"/>
            <a:t>Quais</a:t>
          </a:r>
          <a:r>
            <a:rPr lang="pt-BR" sz="1200" b="1" baseline="0"/>
            <a:t> posições receberam maior volume de investimento?</a:t>
          </a:r>
        </a:p>
        <a:p>
          <a:pPr algn="l"/>
          <a:r>
            <a:rPr lang="pt-BR" sz="1200"/>
            <a:t>• </a:t>
          </a:r>
          <a:r>
            <a:rPr lang="pt-BR" sz="1200" b="1"/>
            <a:t>O</a:t>
          </a:r>
          <a:r>
            <a:rPr lang="pt-BR" sz="1200" b="1" baseline="0"/>
            <a:t> clube priorizou jogadores jovens ou atletas mais experientes?</a:t>
          </a:r>
        </a:p>
        <a:p>
          <a:pPr algn="l"/>
          <a:r>
            <a:rPr lang="pt-BR" sz="1200" b="0"/>
            <a:t>•</a:t>
          </a:r>
          <a:r>
            <a:rPr lang="pt-BR" sz="1200" b="1"/>
            <a:t> Existe um perfil de contratação predominante em</a:t>
          </a:r>
          <a:r>
            <a:rPr lang="pt-BR" sz="1200" b="1" baseline="0"/>
            <a:t> relação à nacionalidade dos atletas?</a:t>
          </a:r>
        </a:p>
        <a:p>
          <a:pPr algn="l"/>
          <a:r>
            <a:rPr lang="pt-BR" sz="1200" b="0"/>
            <a:t>•</a:t>
          </a:r>
          <a:r>
            <a:rPr lang="pt-BR" sz="1200" b="1"/>
            <a:t> Qual</a:t>
          </a:r>
          <a:r>
            <a:rPr lang="pt-BR" sz="1200" b="1" baseline="0"/>
            <a:t> posições geraram maior retorno financeiro ao clube?</a:t>
          </a:r>
          <a:endParaRPr lang="pt-BR" sz="1200" b="1"/>
        </a:p>
        <a:p>
          <a:pPr algn="l"/>
          <a:r>
            <a:rPr lang="pt-BR" sz="1200" b="0"/>
            <a:t>•</a:t>
          </a:r>
          <a:r>
            <a:rPr lang="pt-BR" sz="1200" b="1"/>
            <a:t> O perfil</a:t>
          </a:r>
          <a:r>
            <a:rPr lang="pt-BR" sz="1200" b="1" baseline="0"/>
            <a:t> das contratações mudou ao longo das temporadas analisadas?</a:t>
          </a:r>
        </a:p>
        <a:p>
          <a:pPr algn="l"/>
          <a:r>
            <a:rPr lang="pt-BR" sz="1200" b="0"/>
            <a:t>•</a:t>
          </a:r>
          <a:r>
            <a:rPr lang="pt-BR" sz="1200" b="1"/>
            <a:t> Quais negociações representaram maior impacto financeiro para o clube?</a:t>
          </a:r>
          <a:endParaRPr lang="pt-BR" sz="1200" b="1" baseline="0"/>
        </a:p>
      </xdr:txBody>
    </xdr:sp>
    <xdr:clientData/>
  </xdr:oneCellAnchor>
  <xdr:oneCellAnchor>
    <xdr:from>
      <xdr:col>0</xdr:col>
      <xdr:colOff>155690</xdr:colOff>
      <xdr:row>58</xdr:row>
      <xdr:rowOff>131247</xdr:rowOff>
    </xdr:from>
    <xdr:ext cx="1968744" cy="327141"/>
    <xdr:sp macro="" textlink="">
      <xdr:nvSpPr>
        <xdr:cNvPr id="14" name="CaixaDeTexto 13">
          <a:extLst>
            <a:ext uri="{FF2B5EF4-FFF2-40B4-BE49-F238E27FC236}">
              <a16:creationId xmlns:a16="http://schemas.microsoft.com/office/drawing/2014/main" id="{C8C0B1B2-3A34-4D73-9A18-CB06CE852679}"/>
            </a:ext>
          </a:extLst>
        </xdr:cNvPr>
        <xdr:cNvSpPr txBox="1"/>
      </xdr:nvSpPr>
      <xdr:spPr>
        <a:xfrm>
          <a:off x="155690" y="11180247"/>
          <a:ext cx="1968744"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4. Objetivos</a:t>
          </a:r>
          <a:r>
            <a:rPr lang="pt-BR" sz="1500" b="1" baseline="0"/>
            <a:t> Analíticos</a:t>
          </a:r>
          <a:endParaRPr lang="pt-BR" sz="1500" b="1"/>
        </a:p>
      </xdr:txBody>
    </xdr:sp>
    <xdr:clientData/>
  </xdr:oneCellAnchor>
  <xdr:oneCellAnchor>
    <xdr:from>
      <xdr:col>0</xdr:col>
      <xdr:colOff>157971</xdr:colOff>
      <xdr:row>61</xdr:row>
      <xdr:rowOff>31515</xdr:rowOff>
    </xdr:from>
    <xdr:ext cx="12148329" cy="1783180"/>
    <xdr:sp macro="" textlink="">
      <xdr:nvSpPr>
        <xdr:cNvPr id="15" name="CaixaDeTexto 14">
          <a:extLst>
            <a:ext uri="{FF2B5EF4-FFF2-40B4-BE49-F238E27FC236}">
              <a16:creationId xmlns:a16="http://schemas.microsoft.com/office/drawing/2014/main" id="{C138AC39-12F5-4772-B45A-AF48518A71D9}"/>
            </a:ext>
          </a:extLst>
        </xdr:cNvPr>
        <xdr:cNvSpPr txBox="1"/>
      </xdr:nvSpPr>
      <xdr:spPr>
        <a:xfrm>
          <a:off x="157971" y="11652015"/>
          <a:ext cx="12148329" cy="178318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Para responder às questões propostas,</a:t>
          </a:r>
          <a:r>
            <a:rPr lang="pt-BR" sz="1200" baseline="0"/>
            <a:t> o projeto realizará:</a:t>
          </a:r>
        </a:p>
        <a:p>
          <a:pPr algn="l"/>
          <a:endParaRPr lang="pt-BR" sz="1200" b="0" baseline="0"/>
        </a:p>
        <a:p>
          <a:pPr algn="l"/>
          <a:r>
            <a:rPr lang="pt-BR" sz="1200" b="0"/>
            <a:t>• Limpeza e padronização dos dados;</a:t>
          </a:r>
          <a:endParaRPr lang="pt-BR" sz="1200" b="0" baseline="0"/>
        </a:p>
        <a:p>
          <a:pPr algn="l"/>
          <a:r>
            <a:rPr lang="pt-BR" sz="1200" b="0"/>
            <a:t>• Tratamento de inconsistências e valores ausentes;</a:t>
          </a:r>
          <a:endParaRPr lang="pt-BR" sz="1200" b="0" baseline="0"/>
        </a:p>
        <a:p>
          <a:pPr algn="l"/>
          <a:r>
            <a:rPr lang="pt-BR" sz="1200" b="0"/>
            <a:t>• Conversão e normalização de valores financeiros;</a:t>
          </a:r>
          <a:endParaRPr lang="pt-BR" sz="1200" b="0" baseline="0"/>
        </a:p>
        <a:p>
          <a:pPr algn="l"/>
          <a:r>
            <a:rPr lang="pt-BR" sz="1200" b="0"/>
            <a:t>• Criação de indicadores financeiros;</a:t>
          </a:r>
          <a:endParaRPr lang="pt-BR" sz="1200" b="0" baseline="0"/>
        </a:p>
        <a:p>
          <a:pPr algn="l"/>
          <a:r>
            <a:rPr lang="pt-BR" sz="1200" b="0"/>
            <a:t>• Análise exploratória das transferências;</a:t>
          </a:r>
        </a:p>
        <a:p>
          <a:pPr algn="l"/>
          <a:r>
            <a:rPr lang="pt-BR" sz="1200" b="0"/>
            <a:t>• Construção</a:t>
          </a:r>
          <a:r>
            <a:rPr lang="pt-BR" sz="1200" b="0" baseline="0"/>
            <a:t> de visualizações e dashboards interativos;</a:t>
          </a:r>
        </a:p>
        <a:p>
          <a:pPr algn="l"/>
          <a:r>
            <a:rPr lang="pt-BR" sz="1200" b="0"/>
            <a:t>• Geração de insights financeiros e estratégicos</a:t>
          </a:r>
          <a:endParaRPr lang="pt-BR" sz="1200" b="0" baseline="0"/>
        </a:p>
      </xdr:txBody>
    </xdr:sp>
    <xdr:clientData/>
  </xdr:oneCellAnchor>
  <xdr:oneCellAnchor>
    <xdr:from>
      <xdr:col>0</xdr:col>
      <xdr:colOff>191230</xdr:colOff>
      <xdr:row>71</xdr:row>
      <xdr:rowOff>183202</xdr:rowOff>
    </xdr:from>
    <xdr:ext cx="1782219" cy="327141"/>
    <xdr:sp macro="" textlink="">
      <xdr:nvSpPr>
        <xdr:cNvPr id="16" name="CaixaDeTexto 15">
          <a:extLst>
            <a:ext uri="{FF2B5EF4-FFF2-40B4-BE49-F238E27FC236}">
              <a16:creationId xmlns:a16="http://schemas.microsoft.com/office/drawing/2014/main" id="{3ACB6205-4CFC-421C-9819-82281BA4ECD7}"/>
            </a:ext>
          </a:extLst>
        </xdr:cNvPr>
        <xdr:cNvSpPr txBox="1"/>
      </xdr:nvSpPr>
      <xdr:spPr>
        <a:xfrm>
          <a:off x="191230" y="13503770"/>
          <a:ext cx="1782219"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5. Fontes dos Dados</a:t>
          </a:r>
        </a:p>
      </xdr:txBody>
    </xdr:sp>
    <xdr:clientData/>
  </xdr:oneCellAnchor>
  <xdr:oneCellAnchor>
    <xdr:from>
      <xdr:col>0</xdr:col>
      <xdr:colOff>148252</xdr:colOff>
      <xdr:row>74</xdr:row>
      <xdr:rowOff>134541</xdr:rowOff>
    </xdr:from>
    <xdr:ext cx="12148329" cy="280205"/>
    <xdr:sp macro="" textlink="">
      <xdr:nvSpPr>
        <xdr:cNvPr id="17" name="CaixaDeTexto 16">
          <a:extLst>
            <a:ext uri="{FF2B5EF4-FFF2-40B4-BE49-F238E27FC236}">
              <a16:creationId xmlns:a16="http://schemas.microsoft.com/office/drawing/2014/main" id="{77602AAC-4522-4B59-8F8C-9398EBE18384}"/>
            </a:ext>
          </a:extLst>
        </xdr:cNvPr>
        <xdr:cNvSpPr txBox="1"/>
      </xdr:nvSpPr>
      <xdr:spPr>
        <a:xfrm>
          <a:off x="148252" y="14519235"/>
          <a:ext cx="12148329" cy="28020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Os dados utilizados neste projeto foram</a:t>
          </a:r>
          <a:r>
            <a:rPr lang="pt-BR" sz="1200" baseline="0"/>
            <a:t> obtidos por meio de plataformas públicas especializadas em futebol e mercado esportivo:</a:t>
          </a:r>
          <a:endParaRPr lang="pt-BR" sz="1200" b="0" baseline="0"/>
        </a:p>
      </xdr:txBody>
    </xdr:sp>
    <xdr:clientData/>
  </xdr:oneCellAnchor>
  <xdr:oneCellAnchor>
    <xdr:from>
      <xdr:col>0</xdr:col>
      <xdr:colOff>184669</xdr:colOff>
      <xdr:row>76</xdr:row>
      <xdr:rowOff>165230</xdr:rowOff>
    </xdr:from>
    <xdr:ext cx="1229760" cy="280205"/>
    <xdr:sp macro="" textlink="">
      <xdr:nvSpPr>
        <xdr:cNvPr id="18" name="CaixaDeTexto 17">
          <a:hlinkClick xmlns:r="http://schemas.openxmlformats.org/officeDocument/2006/relationships" r:id="rId3"/>
          <a:extLst>
            <a:ext uri="{FF2B5EF4-FFF2-40B4-BE49-F238E27FC236}">
              <a16:creationId xmlns:a16="http://schemas.microsoft.com/office/drawing/2014/main" id="{4430E003-D00A-AF1C-8F35-41DEE617166C}"/>
            </a:ext>
          </a:extLst>
        </xdr:cNvPr>
        <xdr:cNvSpPr txBox="1"/>
      </xdr:nvSpPr>
      <xdr:spPr>
        <a:xfrm>
          <a:off x="184669" y="14938699"/>
          <a:ext cx="1229760" cy="28020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pt-BR" sz="1200" b="0">
              <a:solidFill>
                <a:schemeClr val="tx1"/>
              </a:solidFill>
              <a:effectLst/>
              <a:latin typeface="+mn-lt"/>
              <a:ea typeface="+mn-ea"/>
              <a:cs typeface="+mn-cs"/>
            </a:rPr>
            <a:t>• </a:t>
          </a:r>
          <a:r>
            <a:rPr lang="pt-BR" sz="1200" b="0" u="sng">
              <a:solidFill>
                <a:schemeClr val="tx1"/>
              </a:solidFill>
              <a:effectLst/>
              <a:latin typeface="+mn-lt"/>
              <a:ea typeface="+mn-ea"/>
              <a:cs typeface="+mn-cs"/>
            </a:rPr>
            <a:t>Transfermarkt;</a:t>
          </a:r>
          <a:endParaRPr lang="pt-BR" sz="1200" u="sng">
            <a:effectLst/>
          </a:endParaRPr>
        </a:p>
      </xdr:txBody>
    </xdr:sp>
    <xdr:clientData/>
  </xdr:oneCellAnchor>
  <xdr:oneCellAnchor>
    <xdr:from>
      <xdr:col>0</xdr:col>
      <xdr:colOff>181559</xdr:colOff>
      <xdr:row>78</xdr:row>
      <xdr:rowOff>16327</xdr:rowOff>
    </xdr:from>
    <xdr:ext cx="905376" cy="280205"/>
    <xdr:sp macro="" textlink="">
      <xdr:nvSpPr>
        <xdr:cNvPr id="19" name="CaixaDeTexto 18">
          <a:hlinkClick xmlns:r="http://schemas.openxmlformats.org/officeDocument/2006/relationships" r:id="rId4"/>
          <a:extLst>
            <a:ext uri="{FF2B5EF4-FFF2-40B4-BE49-F238E27FC236}">
              <a16:creationId xmlns:a16="http://schemas.microsoft.com/office/drawing/2014/main" id="{A390E617-8C79-4F82-B598-BC446ECCA7EA}"/>
            </a:ext>
          </a:extLst>
        </xdr:cNvPr>
        <xdr:cNvSpPr txBox="1"/>
      </xdr:nvSpPr>
      <xdr:spPr>
        <a:xfrm>
          <a:off x="181559" y="15178572"/>
          <a:ext cx="905376" cy="28020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pt-BR" sz="1200" b="0">
              <a:solidFill>
                <a:schemeClr val="tx1"/>
              </a:solidFill>
              <a:effectLst/>
              <a:latin typeface="+mn-lt"/>
              <a:ea typeface="+mn-ea"/>
              <a:cs typeface="+mn-cs"/>
            </a:rPr>
            <a:t>• </a:t>
          </a:r>
          <a:r>
            <a:rPr lang="pt-BR" sz="1200" b="0" u="sng">
              <a:solidFill>
                <a:schemeClr val="tx1"/>
              </a:solidFill>
              <a:effectLst/>
              <a:latin typeface="+mn-lt"/>
              <a:ea typeface="+mn-ea"/>
              <a:cs typeface="+mn-cs"/>
            </a:rPr>
            <a:t>Sofascore</a:t>
          </a:r>
        </a:p>
      </xdr:txBody>
    </xdr:sp>
    <xdr:clientData/>
  </xdr:oneCellAnchor>
  <xdr:oneCellAnchor>
    <xdr:from>
      <xdr:col>0</xdr:col>
      <xdr:colOff>163195</xdr:colOff>
      <xdr:row>80</xdr:row>
      <xdr:rowOff>149331</xdr:rowOff>
    </xdr:from>
    <xdr:ext cx="2363147" cy="327141"/>
    <xdr:sp macro="" textlink="">
      <xdr:nvSpPr>
        <xdr:cNvPr id="5" name="CaixaDeTexto 4">
          <a:extLst>
            <a:ext uri="{FF2B5EF4-FFF2-40B4-BE49-F238E27FC236}">
              <a16:creationId xmlns:a16="http://schemas.microsoft.com/office/drawing/2014/main" id="{CB7CF3C1-5A5B-47AD-B411-E2EA1B874DCC}"/>
            </a:ext>
          </a:extLst>
        </xdr:cNvPr>
        <xdr:cNvSpPr txBox="1"/>
      </xdr:nvSpPr>
      <xdr:spPr>
        <a:xfrm>
          <a:off x="163195" y="15700351"/>
          <a:ext cx="2363147"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6. Apresentação do Projeto</a:t>
          </a:r>
        </a:p>
      </xdr:txBody>
    </xdr:sp>
    <xdr:clientData/>
  </xdr:oneCellAnchor>
  <xdr:oneCellAnchor>
    <xdr:from>
      <xdr:col>0</xdr:col>
      <xdr:colOff>97194</xdr:colOff>
      <xdr:row>83</xdr:row>
      <xdr:rowOff>77755</xdr:rowOff>
    </xdr:from>
    <xdr:ext cx="12148329" cy="2534668"/>
    <xdr:sp macro="" textlink="">
      <xdr:nvSpPr>
        <xdr:cNvPr id="20" name="CaixaDeTexto 19">
          <a:extLst>
            <a:ext uri="{FF2B5EF4-FFF2-40B4-BE49-F238E27FC236}">
              <a16:creationId xmlns:a16="http://schemas.microsoft.com/office/drawing/2014/main" id="{79617BDE-CDDA-4EE1-868A-B05F9C3521DB}"/>
            </a:ext>
          </a:extLst>
        </xdr:cNvPr>
        <xdr:cNvSpPr txBox="1"/>
      </xdr:nvSpPr>
      <xdr:spPr>
        <a:xfrm>
          <a:off x="97194" y="15889255"/>
          <a:ext cx="12148329" cy="25346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Este projeto contará</a:t>
          </a:r>
          <a:r>
            <a:rPr lang="pt-BR" sz="1200" baseline="0"/>
            <a:t> com o total de 6 abas, cada uma representando uma etapa diferente. São elas:</a:t>
          </a:r>
          <a:endParaRPr lang="pt-BR" sz="1200" b="0" baseline="0"/>
        </a:p>
        <a:p>
          <a:pPr algn="l"/>
          <a:endParaRPr lang="pt-BR" sz="1200" b="0" baseline="0"/>
        </a:p>
        <a:p>
          <a:pPr algn="l"/>
          <a:r>
            <a:rPr lang="pt-BR" sz="1200" b="0">
              <a:solidFill>
                <a:srgbClr val="FF0000"/>
              </a:solidFill>
              <a:effectLst/>
              <a:latin typeface="+mn-lt"/>
              <a:ea typeface="+mn-ea"/>
              <a:cs typeface="+mn-cs"/>
            </a:rPr>
            <a:t>• </a:t>
          </a:r>
          <a:r>
            <a:rPr lang="pt-BR" sz="1200" b="1">
              <a:solidFill>
                <a:srgbClr val="FF0000"/>
              </a:solidFill>
              <a:effectLst/>
              <a:latin typeface="+mn-lt"/>
              <a:ea typeface="+mn-ea"/>
              <a:cs typeface="+mn-cs"/>
            </a:rPr>
            <a:t>Apresentação: </a:t>
          </a:r>
          <a:r>
            <a:rPr lang="pt-BR" sz="1200" b="0">
              <a:solidFill>
                <a:schemeClr val="tx1"/>
              </a:solidFill>
              <a:effectLst/>
              <a:latin typeface="+mn-lt"/>
              <a:ea typeface="+mn-ea"/>
              <a:cs typeface="+mn-cs"/>
            </a:rPr>
            <a:t>aba que</a:t>
          </a:r>
          <a:r>
            <a:rPr lang="pt-BR" sz="1200" b="0" baseline="0">
              <a:solidFill>
                <a:schemeClr val="tx1"/>
              </a:solidFill>
              <a:effectLst/>
              <a:latin typeface="+mn-lt"/>
              <a:ea typeface="+mn-ea"/>
              <a:cs typeface="+mn-cs"/>
            </a:rPr>
            <a:t> introduz o projeto, citando as motivações por trás da criação do mesmo e quais objetivos pretendem ser alcançados através de sua realização.</a:t>
          </a:r>
        </a:p>
        <a:p>
          <a:pPr algn="l"/>
          <a:endParaRPr lang="pt-BR" sz="1200" b="0" baseline="0">
            <a:solidFill>
              <a:srgbClr val="FF0000"/>
            </a:solidFill>
            <a:effectLst/>
            <a:latin typeface="+mn-lt"/>
            <a:ea typeface="+mn-ea"/>
            <a:cs typeface="+mn-cs"/>
          </a:endParaRPr>
        </a:p>
        <a:p>
          <a:pPr algn="l"/>
          <a:r>
            <a:rPr lang="pt-BR" sz="1100" b="1">
              <a:solidFill>
                <a:srgbClr val="FF0000"/>
              </a:solidFill>
              <a:effectLst/>
              <a:latin typeface="+mn-lt"/>
              <a:ea typeface="+mn-ea"/>
              <a:cs typeface="+mn-cs"/>
            </a:rPr>
            <a:t>• </a:t>
          </a:r>
          <a:r>
            <a:rPr lang="pt-BR" sz="1200" b="1">
              <a:solidFill>
                <a:srgbClr val="FF0000"/>
              </a:solidFill>
              <a:effectLst/>
              <a:latin typeface="+mn-lt"/>
              <a:ea typeface="+mn-ea"/>
              <a:cs typeface="+mn-cs"/>
            </a:rPr>
            <a:t>Dados</a:t>
          </a:r>
          <a:r>
            <a:rPr lang="pt-BR" sz="1200" b="1" baseline="0">
              <a:solidFill>
                <a:srgbClr val="FF0000"/>
              </a:solidFill>
              <a:effectLst/>
              <a:latin typeface="+mn-lt"/>
              <a:ea typeface="+mn-ea"/>
              <a:cs typeface="+mn-cs"/>
            </a:rPr>
            <a:t> Brutos: </a:t>
          </a:r>
          <a:r>
            <a:rPr lang="pt-BR" sz="1200" b="0" baseline="0">
              <a:solidFill>
                <a:schemeClr val="tx1"/>
              </a:solidFill>
              <a:effectLst/>
              <a:latin typeface="+mn-lt"/>
              <a:ea typeface="+mn-ea"/>
              <a:cs typeface="+mn-cs"/>
            </a:rPr>
            <a:t>aba que contém os dados que serão utilizados no projeto em estado bruto, sem qualquer tipo de tratamento ou formatação.</a:t>
          </a:r>
        </a:p>
        <a:p>
          <a:pPr algn="l"/>
          <a:endParaRPr lang="pt-BR" sz="1200" b="0" baseline="0">
            <a:solidFill>
              <a:schemeClr val="tx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pt-BR" sz="1100" b="0">
              <a:solidFill>
                <a:srgbClr val="FF0000"/>
              </a:solidFill>
              <a:effectLst/>
              <a:latin typeface="+mn-lt"/>
              <a:ea typeface="+mn-ea"/>
              <a:cs typeface="+mn-cs"/>
            </a:rPr>
            <a:t>•</a:t>
          </a:r>
          <a:r>
            <a:rPr lang="pt-BR" sz="1200" b="0" baseline="0">
              <a:solidFill>
                <a:srgbClr val="FF0000"/>
              </a:solidFill>
              <a:effectLst/>
              <a:latin typeface="+mn-lt"/>
              <a:ea typeface="+mn-ea"/>
              <a:cs typeface="+mn-cs"/>
            </a:rPr>
            <a:t> </a:t>
          </a:r>
          <a:r>
            <a:rPr lang="pt-BR" sz="1200" b="1" baseline="0">
              <a:solidFill>
                <a:srgbClr val="FF0000"/>
              </a:solidFill>
              <a:effectLst/>
              <a:latin typeface="+mn-lt"/>
              <a:ea typeface="+mn-ea"/>
              <a:cs typeface="+mn-cs"/>
            </a:rPr>
            <a:t>Dados Tratados: </a:t>
          </a:r>
          <a:r>
            <a:rPr lang="pt-BR" sz="1200" b="0" baseline="0">
              <a:solidFill>
                <a:schemeClr val="tx1"/>
              </a:solidFill>
              <a:effectLst/>
              <a:latin typeface="+mn-lt"/>
              <a:ea typeface="+mn-ea"/>
              <a:cs typeface="+mn-cs"/>
            </a:rPr>
            <a:t>aba contendo os dados limpos e tratados, tendo passado por processos cruciais como verificação de dados ausentes e remoção de duplicatas.</a:t>
          </a:r>
        </a:p>
        <a:p>
          <a:pPr marL="0" marR="0" lvl="0" indent="0" algn="l" defTabSz="914400" eaLnBrk="1" fontAlgn="auto" latinLnBrk="0" hangingPunct="1">
            <a:lnSpc>
              <a:spcPct val="100000"/>
            </a:lnSpc>
            <a:spcBef>
              <a:spcPts val="0"/>
            </a:spcBef>
            <a:spcAft>
              <a:spcPts val="0"/>
            </a:spcAft>
            <a:buClrTx/>
            <a:buSzTx/>
            <a:buFontTx/>
            <a:buNone/>
            <a:tabLst/>
            <a:defRPr/>
          </a:pPr>
          <a:endParaRPr lang="pt-BR" sz="1200" b="0" baseline="0">
            <a:solidFill>
              <a:schemeClr val="tx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pt-BR" sz="1200" b="0">
              <a:solidFill>
                <a:srgbClr val="FF0000"/>
              </a:solidFill>
              <a:effectLst/>
              <a:latin typeface="+mn-lt"/>
              <a:ea typeface="+mn-ea"/>
              <a:cs typeface="+mn-cs"/>
            </a:rPr>
            <a:t>•</a:t>
          </a:r>
          <a:r>
            <a:rPr lang="pt-BR" sz="1200" b="0" baseline="0">
              <a:solidFill>
                <a:srgbClr val="FF0000"/>
              </a:solidFill>
              <a:effectLst/>
              <a:latin typeface="+mn-lt"/>
              <a:ea typeface="+mn-ea"/>
              <a:cs typeface="+mn-cs"/>
            </a:rPr>
            <a:t> </a:t>
          </a:r>
          <a:r>
            <a:rPr lang="pt-BR" sz="1200" b="1" baseline="0">
              <a:solidFill>
                <a:srgbClr val="FF0000"/>
              </a:solidFill>
              <a:effectLst/>
              <a:latin typeface="+mn-lt"/>
              <a:ea typeface="+mn-ea"/>
              <a:cs typeface="+mn-cs"/>
            </a:rPr>
            <a:t>Análises: </a:t>
          </a:r>
          <a:r>
            <a:rPr lang="pt-BR" sz="1200" b="0" baseline="0">
              <a:solidFill>
                <a:schemeClr val="tx1"/>
              </a:solidFill>
              <a:effectLst/>
              <a:latin typeface="+mn-lt"/>
              <a:ea typeface="+mn-ea"/>
              <a:cs typeface="+mn-cs"/>
            </a:rPr>
            <a:t>aba contendo as análises que serão feitas baseando-se nas perguntas de negócio que buscam serem respondidas e nos dados tratados.</a:t>
          </a:r>
        </a:p>
        <a:p>
          <a:pPr marL="0" marR="0" lvl="0" indent="0" algn="l" defTabSz="914400" eaLnBrk="1" fontAlgn="auto" latinLnBrk="0" hangingPunct="1">
            <a:lnSpc>
              <a:spcPct val="100000"/>
            </a:lnSpc>
            <a:spcBef>
              <a:spcPts val="0"/>
            </a:spcBef>
            <a:spcAft>
              <a:spcPts val="0"/>
            </a:spcAft>
            <a:buClrTx/>
            <a:buSzTx/>
            <a:buFontTx/>
            <a:buNone/>
            <a:tabLst/>
            <a:defRPr/>
          </a:pPr>
          <a:endParaRPr lang="pt-BR" sz="1200" b="0" baseline="0">
            <a:solidFill>
              <a:schemeClr val="tx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pt-BR" sz="1200" b="0">
              <a:solidFill>
                <a:srgbClr val="FF0000"/>
              </a:solidFill>
              <a:effectLst/>
              <a:latin typeface="+mn-lt"/>
              <a:ea typeface="+mn-ea"/>
              <a:cs typeface="+mn-cs"/>
            </a:rPr>
            <a:t>•</a:t>
          </a:r>
          <a:r>
            <a:rPr lang="pt-BR" sz="1200" b="0" baseline="0">
              <a:solidFill>
                <a:srgbClr val="FF0000"/>
              </a:solidFill>
              <a:effectLst/>
              <a:latin typeface="+mn-lt"/>
              <a:ea typeface="+mn-ea"/>
              <a:cs typeface="+mn-cs"/>
            </a:rPr>
            <a:t> </a:t>
          </a:r>
          <a:r>
            <a:rPr lang="pt-BR" sz="1200" b="1" baseline="0">
              <a:solidFill>
                <a:srgbClr val="FF0000"/>
              </a:solidFill>
              <a:effectLst/>
              <a:latin typeface="+mn-lt"/>
              <a:ea typeface="+mn-ea"/>
              <a:cs typeface="+mn-cs"/>
            </a:rPr>
            <a:t>Dashboard: </a:t>
          </a:r>
          <a:r>
            <a:rPr lang="pt-BR" sz="1200" b="0" baseline="0">
              <a:solidFill>
                <a:schemeClr val="tx1"/>
              </a:solidFill>
              <a:effectLst/>
              <a:latin typeface="+mn-lt"/>
              <a:ea typeface="+mn-ea"/>
              <a:cs typeface="+mn-cs"/>
            </a:rPr>
            <a:t>aba contendo o dashboard que será construído através da utilização de métricas importantes obtidas durante o processo das análises.</a:t>
          </a:r>
        </a:p>
        <a:p>
          <a:pPr marL="0" marR="0" lvl="0" indent="0" algn="l" defTabSz="914400" eaLnBrk="1" fontAlgn="auto" latinLnBrk="0" hangingPunct="1">
            <a:lnSpc>
              <a:spcPct val="100000"/>
            </a:lnSpc>
            <a:spcBef>
              <a:spcPts val="0"/>
            </a:spcBef>
            <a:spcAft>
              <a:spcPts val="0"/>
            </a:spcAft>
            <a:buClrTx/>
            <a:buSzTx/>
            <a:buFontTx/>
            <a:buNone/>
            <a:tabLst/>
            <a:defRPr/>
          </a:pPr>
          <a:endParaRPr lang="pt-BR" sz="1200" b="0" baseline="0">
            <a:solidFill>
              <a:schemeClr val="tx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pt-BR" sz="1200" b="0">
              <a:solidFill>
                <a:srgbClr val="FF0000"/>
              </a:solidFill>
              <a:effectLst/>
              <a:latin typeface="+mn-lt"/>
              <a:ea typeface="+mn-ea"/>
              <a:cs typeface="+mn-cs"/>
            </a:rPr>
            <a:t>•</a:t>
          </a:r>
          <a:r>
            <a:rPr lang="pt-BR" sz="1200" b="0" baseline="0">
              <a:solidFill>
                <a:srgbClr val="FF0000"/>
              </a:solidFill>
              <a:effectLst/>
              <a:latin typeface="+mn-lt"/>
              <a:ea typeface="+mn-ea"/>
              <a:cs typeface="+mn-cs"/>
            </a:rPr>
            <a:t> </a:t>
          </a:r>
          <a:r>
            <a:rPr lang="pt-BR" sz="1200" b="1" baseline="0">
              <a:solidFill>
                <a:srgbClr val="FF0000"/>
              </a:solidFill>
              <a:effectLst/>
              <a:latin typeface="+mn-lt"/>
              <a:ea typeface="+mn-ea"/>
              <a:cs typeface="+mn-cs"/>
            </a:rPr>
            <a:t>Anotações: </a:t>
          </a:r>
          <a:r>
            <a:rPr lang="pt-BR" sz="1200" b="0" baseline="0">
              <a:solidFill>
                <a:schemeClr val="tx1"/>
              </a:solidFill>
              <a:effectLst/>
              <a:latin typeface="+mn-lt"/>
              <a:ea typeface="+mn-ea"/>
              <a:cs typeface="+mn-cs"/>
            </a:rPr>
            <a:t>aba onde estarão disponíveis alguns de meus pensamentos e justificativas relacionadas a determinadas decisões que tomei durante a construção do projeto.</a:t>
          </a:r>
          <a:endParaRPr lang="pt-BR" sz="1200">
            <a:solidFill>
              <a:srgbClr val="FF0000"/>
            </a:solidFill>
            <a:effectLst/>
          </a:endParaRPr>
        </a:p>
      </xdr:txBody>
    </xdr:sp>
    <xdr:clientData/>
  </xdr:oneCellAnchor>
</xdr:wsDr>
</file>

<file path=xl/drawings/drawing2.xml><?xml version="1.0" encoding="utf-8"?>
<xdr:wsDr xmlns:xdr="http://schemas.openxmlformats.org/drawingml/2006/spreadsheetDrawing" xmlns:a="http://schemas.openxmlformats.org/drawingml/2006/main">
  <xdr:oneCellAnchor>
    <xdr:from>
      <xdr:col>3</xdr:col>
      <xdr:colOff>848303</xdr:colOff>
      <xdr:row>0</xdr:row>
      <xdr:rowOff>104775</xdr:rowOff>
    </xdr:from>
    <xdr:ext cx="3234027" cy="405432"/>
    <xdr:sp macro="" textlink="">
      <xdr:nvSpPr>
        <xdr:cNvPr id="2" name="CaixaDeTexto 1">
          <a:extLst>
            <a:ext uri="{FF2B5EF4-FFF2-40B4-BE49-F238E27FC236}">
              <a16:creationId xmlns:a16="http://schemas.microsoft.com/office/drawing/2014/main" id="{54F3D7A2-1728-47AF-B8F2-DC9F84FC265D}"/>
            </a:ext>
          </a:extLst>
        </xdr:cNvPr>
        <xdr:cNvSpPr txBox="1"/>
      </xdr:nvSpPr>
      <xdr:spPr>
        <a:xfrm>
          <a:off x="4925003" y="104775"/>
          <a:ext cx="3234027"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a:t>Análise</a:t>
          </a:r>
          <a:r>
            <a:rPr lang="pt-BR" sz="2000" b="1" baseline="0"/>
            <a:t> Descritiva dos Dados</a:t>
          </a:r>
          <a:endParaRPr lang="pt-BR" sz="2000" b="1"/>
        </a:p>
      </xdr:txBody>
    </xdr:sp>
    <xdr:clientData/>
  </xdr:oneCellAnchor>
  <xdr:oneCellAnchor>
    <xdr:from>
      <xdr:col>1</xdr:col>
      <xdr:colOff>457200</xdr:colOff>
      <xdr:row>6</xdr:row>
      <xdr:rowOff>142875</xdr:rowOff>
    </xdr:from>
    <xdr:ext cx="4712251" cy="405432"/>
    <xdr:sp macro="" textlink="">
      <xdr:nvSpPr>
        <xdr:cNvPr id="3" name="CaixaDeTexto 2">
          <a:extLst>
            <a:ext uri="{FF2B5EF4-FFF2-40B4-BE49-F238E27FC236}">
              <a16:creationId xmlns:a16="http://schemas.microsoft.com/office/drawing/2014/main" id="{DC6DD0BC-1ECF-4085-86BC-5BBAFA85FFBE}"/>
            </a:ext>
          </a:extLst>
        </xdr:cNvPr>
        <xdr:cNvSpPr txBox="1"/>
      </xdr:nvSpPr>
      <xdr:spPr>
        <a:xfrm>
          <a:off x="1952625" y="1285875"/>
          <a:ext cx="4712251"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a:t>1. Resultado</a:t>
          </a:r>
          <a:r>
            <a:rPr lang="pt-BR" sz="2000" b="1" baseline="0"/>
            <a:t> Financeiro das Transferências</a:t>
          </a:r>
        </a:p>
      </xdr:txBody>
    </xdr:sp>
    <xdr:clientData/>
  </xdr:oneCellAnchor>
  <xdr:oneCellAnchor>
    <xdr:from>
      <xdr:col>0</xdr:col>
      <xdr:colOff>0</xdr:colOff>
      <xdr:row>8</xdr:row>
      <xdr:rowOff>123168</xdr:rowOff>
    </xdr:from>
    <xdr:ext cx="9271128" cy="311496"/>
    <xdr:sp macro="" textlink="">
      <xdr:nvSpPr>
        <xdr:cNvPr id="4" name="CaixaDeTexto 3">
          <a:extLst>
            <a:ext uri="{FF2B5EF4-FFF2-40B4-BE49-F238E27FC236}">
              <a16:creationId xmlns:a16="http://schemas.microsoft.com/office/drawing/2014/main" id="{DE15D2E5-0951-4C14-906B-6F98227F45DE}"/>
            </a:ext>
          </a:extLst>
        </xdr:cNvPr>
        <xdr:cNvSpPr txBox="1"/>
      </xdr:nvSpPr>
      <xdr:spPr>
        <a:xfrm>
          <a:off x="0" y="1647168"/>
          <a:ext cx="9271128"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Pergunta de Negócio: </a:t>
          </a:r>
          <a:r>
            <a:rPr lang="pt-BR" sz="1400" b="0" i="1"/>
            <a:t>O Tottenham apresentou lucro ou prejuízo no mercado de transferências ao longo das temporadas?</a:t>
          </a:r>
        </a:p>
      </xdr:txBody>
    </xdr:sp>
    <xdr:clientData/>
  </xdr:oneCellAnchor>
  <xdr:oneCellAnchor>
    <xdr:from>
      <xdr:col>0</xdr:col>
      <xdr:colOff>118502</xdr:colOff>
      <xdr:row>10</xdr:row>
      <xdr:rowOff>139043</xdr:rowOff>
    </xdr:from>
    <xdr:ext cx="818815" cy="311496"/>
    <xdr:sp macro="" textlink="">
      <xdr:nvSpPr>
        <xdr:cNvPr id="6" name="CaixaDeTexto 5">
          <a:extLst>
            <a:ext uri="{FF2B5EF4-FFF2-40B4-BE49-F238E27FC236}">
              <a16:creationId xmlns:a16="http://schemas.microsoft.com/office/drawing/2014/main" id="{2B8224E1-89DA-44EA-BE9A-82CB0A9D9572}"/>
            </a:ext>
          </a:extLst>
        </xdr:cNvPr>
        <xdr:cNvSpPr txBox="1"/>
      </xdr:nvSpPr>
      <xdr:spPr>
        <a:xfrm>
          <a:off x="118502" y="2024199"/>
          <a:ext cx="8188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Análise: </a:t>
          </a:r>
          <a:endParaRPr lang="pt-BR" sz="1400" b="0" i="1"/>
        </a:p>
      </xdr:txBody>
    </xdr:sp>
    <xdr:clientData/>
  </xdr:oneCellAnchor>
  <xdr:twoCellAnchor>
    <xdr:from>
      <xdr:col>0</xdr:col>
      <xdr:colOff>635046</xdr:colOff>
      <xdr:row>22</xdr:row>
      <xdr:rowOff>183890</xdr:rowOff>
    </xdr:from>
    <xdr:to>
      <xdr:col>6</xdr:col>
      <xdr:colOff>1335200</xdr:colOff>
      <xdr:row>46</xdr:row>
      <xdr:rowOff>8504</xdr:rowOff>
    </xdr:to>
    <xdr:graphicFrame macro="">
      <xdr:nvGraphicFramePr>
        <xdr:cNvPr id="5" name="Gráfico 4">
          <a:extLst>
            <a:ext uri="{FF2B5EF4-FFF2-40B4-BE49-F238E27FC236}">
              <a16:creationId xmlns:a16="http://schemas.microsoft.com/office/drawing/2014/main" id="{66F10C5D-81A9-1C04-2DE6-3DCBEE703DE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644922</xdr:colOff>
      <xdr:row>47</xdr:row>
      <xdr:rowOff>7542</xdr:rowOff>
    </xdr:from>
    <xdr:to>
      <xdr:col>6</xdr:col>
      <xdr:colOff>1379141</xdr:colOff>
      <xdr:row>70</xdr:row>
      <xdr:rowOff>168672</xdr:rowOff>
    </xdr:to>
    <xdr:graphicFrame macro="">
      <xdr:nvGraphicFramePr>
        <xdr:cNvPr id="7" name="Gráfico 6">
          <a:extLst>
            <a:ext uri="{FF2B5EF4-FFF2-40B4-BE49-F238E27FC236}">
              <a16:creationId xmlns:a16="http://schemas.microsoft.com/office/drawing/2014/main" id="{07FDB2B2-AA8A-09CD-E88C-108D88C1735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oneCellAnchor>
    <xdr:from>
      <xdr:col>0</xdr:col>
      <xdr:colOff>113183</xdr:colOff>
      <xdr:row>71</xdr:row>
      <xdr:rowOff>138636</xdr:rowOff>
    </xdr:from>
    <xdr:ext cx="1781963" cy="311496"/>
    <xdr:sp macro="" textlink="">
      <xdr:nvSpPr>
        <xdr:cNvPr id="8" name="CaixaDeTexto 7">
          <a:extLst>
            <a:ext uri="{FF2B5EF4-FFF2-40B4-BE49-F238E27FC236}">
              <a16:creationId xmlns:a16="http://schemas.microsoft.com/office/drawing/2014/main" id="{4198BE4D-298A-4180-AF5F-0EC58BFA5784}"/>
            </a:ext>
          </a:extLst>
        </xdr:cNvPr>
        <xdr:cNvSpPr txBox="1"/>
      </xdr:nvSpPr>
      <xdr:spPr>
        <a:xfrm>
          <a:off x="113183" y="13940167"/>
          <a:ext cx="1781963"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Conclusão</a:t>
          </a:r>
          <a:r>
            <a:rPr lang="pt-BR" sz="1400" b="1" i="0" baseline="0"/>
            <a:t> e Insights</a:t>
          </a:r>
          <a:r>
            <a:rPr lang="pt-BR" sz="1400" b="1" i="0"/>
            <a:t>: </a:t>
          </a:r>
          <a:endParaRPr lang="pt-BR" sz="1400" b="0" i="1"/>
        </a:p>
      </xdr:txBody>
    </xdr:sp>
    <xdr:clientData/>
  </xdr:oneCellAnchor>
  <xdr:oneCellAnchor>
    <xdr:from>
      <xdr:col>0</xdr:col>
      <xdr:colOff>28575</xdr:colOff>
      <xdr:row>73</xdr:row>
      <xdr:rowOff>113860</xdr:rowOff>
    </xdr:from>
    <xdr:ext cx="10458504" cy="2722284"/>
    <xdr:sp macro="" textlink="">
      <xdr:nvSpPr>
        <xdr:cNvPr id="9" name="CaixaDeTexto 8">
          <a:extLst>
            <a:ext uri="{FF2B5EF4-FFF2-40B4-BE49-F238E27FC236}">
              <a16:creationId xmlns:a16="http://schemas.microsoft.com/office/drawing/2014/main" id="{6E667475-6A3D-452C-91E0-F7E4682A1787}"/>
            </a:ext>
          </a:extLst>
        </xdr:cNvPr>
        <xdr:cNvSpPr txBox="1"/>
      </xdr:nvSpPr>
      <xdr:spPr>
        <a:xfrm>
          <a:off x="28575" y="14020360"/>
          <a:ext cx="10458504" cy="272228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0" i="0"/>
            <a:t>A</a:t>
          </a:r>
          <a:r>
            <a:rPr lang="pt-BR" sz="1400" b="0" i="0" baseline="0"/>
            <a:t> análise financeira baseada nas movimentações do Tottenham Hotspur entre as temporadas 2019/20 e 2024/25 demonstrou que</a:t>
          </a:r>
          <a:br>
            <a:rPr lang="pt-BR" sz="1400" b="0" i="0" baseline="0"/>
          </a:br>
          <a:r>
            <a:rPr lang="pt-BR" sz="1400" b="0" i="0" baseline="0"/>
            <a:t>o clube manteve uma forte postura no que diz respeito à aquisição de atletas, chegando a investir cerca de </a:t>
          </a:r>
          <a:r>
            <a:rPr lang="pt-BR" sz="1400"/>
            <a:t>£553.2m</a:t>
          </a:r>
          <a:r>
            <a:rPr lang="pt-BR" sz="1400" baseline="0"/>
            <a:t> durante todo o período.</a:t>
          </a:r>
          <a:br>
            <a:rPr lang="pt-BR" sz="1400" baseline="0"/>
          </a:br>
          <a:r>
            <a:rPr lang="pt-BR" sz="1400" baseline="0"/>
            <a:t>Em contrapartida, também conseguimos perceber que o clube gerou menos da metade deste valor com a saída de seus ativos, reunindo um</a:t>
          </a:r>
          <a:br>
            <a:rPr lang="pt-BR" sz="1400" baseline="0"/>
          </a:br>
          <a:r>
            <a:rPr lang="pt-BR" sz="1400" baseline="0"/>
            <a:t>total de </a:t>
          </a:r>
          <a:r>
            <a:rPr lang="pt-BR" sz="1400"/>
            <a:t>£179.8m.</a:t>
          </a:r>
        </a:p>
        <a:p>
          <a:pPr algn="ctr"/>
          <a:endParaRPr lang="pt-BR" sz="1400" b="0" i="0"/>
        </a:p>
        <a:p>
          <a:pPr algn="ctr"/>
          <a:r>
            <a:rPr lang="pt-BR" sz="1400" b="0" i="0"/>
            <a:t>Outro</a:t>
          </a:r>
          <a:r>
            <a:rPr lang="pt-BR" sz="1400" b="0" i="0" baseline="0"/>
            <a:t> ponto chamativo foi o déficit acumulado pelo clube, chegando aos </a:t>
          </a:r>
          <a:r>
            <a:rPr lang="pt-BR" sz="1400">
              <a:solidFill>
                <a:schemeClr val="tx1"/>
              </a:solidFill>
              <a:effectLst/>
              <a:latin typeface="+mn-lt"/>
              <a:ea typeface="+mn-ea"/>
              <a:cs typeface="+mn-cs"/>
            </a:rPr>
            <a:t>£373.4m em 2024/25</a:t>
          </a:r>
          <a:r>
            <a:rPr lang="pt-BR" sz="1400" b="0" i="0" baseline="0"/>
            <a:t>. O ápice do fenômeno ocorreu</a:t>
          </a:r>
        </a:p>
        <a:p>
          <a:pPr algn="ctr"/>
          <a:r>
            <a:rPr lang="pt-BR" sz="1400" b="0" i="0" baseline="0"/>
            <a:t> justamente no último período analisado, onde o valor esteve na marca de </a:t>
          </a:r>
          <a:r>
            <a:rPr lang="pt-BR" sz="1400">
              <a:solidFill>
                <a:schemeClr val="tx1"/>
              </a:solidFill>
              <a:effectLst/>
              <a:latin typeface="+mn-lt"/>
              <a:ea typeface="+mn-ea"/>
              <a:cs typeface="+mn-cs"/>
            </a:rPr>
            <a:t>£92.5m. Curiosamente, este número surgiu após uma</a:t>
          </a:r>
          <a:br>
            <a:rPr lang="pt-BR" sz="1400">
              <a:solidFill>
                <a:schemeClr val="tx1"/>
              </a:solidFill>
              <a:effectLst/>
              <a:latin typeface="+mn-lt"/>
              <a:ea typeface="+mn-ea"/>
              <a:cs typeface="+mn-cs"/>
            </a:rPr>
          </a:br>
          <a:r>
            <a:rPr lang="pt-BR" sz="1400">
              <a:solidFill>
                <a:schemeClr val="tx1"/>
              </a:solidFill>
              <a:effectLst/>
              <a:latin typeface="+mn-lt"/>
              <a:ea typeface="+mn-ea"/>
              <a:cs typeface="+mn-cs"/>
            </a:rPr>
            <a:t>decrescente constante</a:t>
          </a:r>
          <a:r>
            <a:rPr lang="pt-BR" sz="1400" baseline="0">
              <a:solidFill>
                <a:schemeClr val="tx1"/>
              </a:solidFill>
              <a:effectLst/>
              <a:latin typeface="+mn-lt"/>
              <a:ea typeface="+mn-ea"/>
              <a:cs typeface="+mn-cs"/>
            </a:rPr>
            <a:t> de cinco temporadas consecutivas, o que pode indicar um possível desejo de reforçar o plantel de jogadores com</a:t>
          </a:r>
          <a:br>
            <a:rPr lang="pt-BR" sz="1400" baseline="0">
              <a:solidFill>
                <a:schemeClr val="tx1"/>
              </a:solidFill>
              <a:effectLst/>
              <a:latin typeface="+mn-lt"/>
              <a:ea typeface="+mn-ea"/>
              <a:cs typeface="+mn-cs"/>
            </a:rPr>
          </a:br>
          <a:r>
            <a:rPr lang="pt-BR" sz="1400" baseline="0">
              <a:solidFill>
                <a:schemeClr val="tx1"/>
              </a:solidFill>
              <a:effectLst/>
              <a:latin typeface="+mn-lt"/>
              <a:ea typeface="+mn-ea"/>
              <a:cs typeface="+mn-cs"/>
            </a:rPr>
            <a:t>contratações pontuais e de extrema necessidade naquele momento.</a:t>
          </a:r>
        </a:p>
        <a:p>
          <a:pPr algn="ctr"/>
          <a:endParaRPr lang="pt-BR" sz="1400" b="0" i="0" baseline="0">
            <a:solidFill>
              <a:schemeClr val="tx1"/>
            </a:solidFill>
            <a:effectLst/>
            <a:latin typeface="+mn-lt"/>
            <a:ea typeface="+mn-ea"/>
            <a:cs typeface="+mn-cs"/>
          </a:endParaRPr>
        </a:p>
        <a:p>
          <a:pPr algn="ctr"/>
          <a:r>
            <a:rPr lang="pt-BR" sz="1400" b="0" i="0" baseline="0">
              <a:solidFill>
                <a:schemeClr val="tx1"/>
              </a:solidFill>
              <a:effectLst/>
              <a:latin typeface="+mn-lt"/>
              <a:ea typeface="+mn-ea"/>
              <a:cs typeface="+mn-cs"/>
            </a:rPr>
            <a:t>Em resumo, o Tottenham Hotspur sofreu prejuízo no mercado de transferências ao longo das temporadas analisadas pois, em cada uma,</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investiu mais que arrecadou.</a:t>
          </a:r>
          <a:endParaRPr lang="pt-BR" sz="1400" b="0" i="0"/>
        </a:p>
      </xdr:txBody>
    </xdr:sp>
    <xdr:clientData/>
  </xdr:oneCellAnchor>
  <xdr:oneCellAnchor>
    <xdr:from>
      <xdr:col>14</xdr:col>
      <xdr:colOff>1710449</xdr:colOff>
      <xdr:row>6</xdr:row>
      <xdr:rowOff>174934</xdr:rowOff>
    </xdr:from>
    <xdr:ext cx="4358565" cy="405432"/>
    <xdr:sp macro="" textlink="">
      <xdr:nvSpPr>
        <xdr:cNvPr id="10" name="CaixaDeTexto 9">
          <a:extLst>
            <a:ext uri="{FF2B5EF4-FFF2-40B4-BE49-F238E27FC236}">
              <a16:creationId xmlns:a16="http://schemas.microsoft.com/office/drawing/2014/main" id="{ADD2323A-2ACC-4756-82FC-396F30129351}"/>
            </a:ext>
          </a:extLst>
        </xdr:cNvPr>
        <xdr:cNvSpPr txBox="1"/>
      </xdr:nvSpPr>
      <xdr:spPr>
        <a:xfrm>
          <a:off x="16045574" y="1317934"/>
          <a:ext cx="4358565"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baseline="0"/>
            <a:t>2. Volume de Investimento por Posição</a:t>
          </a:r>
        </a:p>
      </xdr:txBody>
    </xdr:sp>
    <xdr:clientData/>
  </xdr:oneCellAnchor>
  <xdr:oneCellAnchor>
    <xdr:from>
      <xdr:col>14</xdr:col>
      <xdr:colOff>931443</xdr:colOff>
      <xdr:row>8</xdr:row>
      <xdr:rowOff>119573</xdr:rowOff>
    </xdr:from>
    <xdr:ext cx="6052491" cy="311496"/>
    <xdr:sp macro="" textlink="">
      <xdr:nvSpPr>
        <xdr:cNvPr id="11" name="CaixaDeTexto 10">
          <a:extLst>
            <a:ext uri="{FF2B5EF4-FFF2-40B4-BE49-F238E27FC236}">
              <a16:creationId xmlns:a16="http://schemas.microsoft.com/office/drawing/2014/main" id="{69AB0A73-C9BA-48BB-9A2A-B059995BA2FB}"/>
            </a:ext>
          </a:extLst>
        </xdr:cNvPr>
        <xdr:cNvSpPr txBox="1"/>
      </xdr:nvSpPr>
      <xdr:spPr>
        <a:xfrm>
          <a:off x="15266568" y="1643573"/>
          <a:ext cx="6052491"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Pergunta de Negócio: </a:t>
          </a:r>
          <a:r>
            <a:rPr lang="pt-BR" sz="1400" b="0" i="1"/>
            <a:t>Quais posições receberam</a:t>
          </a:r>
          <a:r>
            <a:rPr lang="pt-BR" sz="1400" b="0" i="1" baseline="0"/>
            <a:t> maior volume de investimento?</a:t>
          </a:r>
          <a:endParaRPr lang="pt-BR" sz="1400" b="0" i="1"/>
        </a:p>
      </xdr:txBody>
    </xdr:sp>
    <xdr:clientData/>
  </xdr:oneCellAnchor>
  <xdr:oneCellAnchor>
    <xdr:from>
      <xdr:col>14</xdr:col>
      <xdr:colOff>28575</xdr:colOff>
      <xdr:row>10</xdr:row>
      <xdr:rowOff>123825</xdr:rowOff>
    </xdr:from>
    <xdr:ext cx="818815" cy="311496"/>
    <xdr:sp macro="" textlink="">
      <xdr:nvSpPr>
        <xdr:cNvPr id="12" name="CaixaDeTexto 11">
          <a:extLst>
            <a:ext uri="{FF2B5EF4-FFF2-40B4-BE49-F238E27FC236}">
              <a16:creationId xmlns:a16="http://schemas.microsoft.com/office/drawing/2014/main" id="{82DADD0E-ABFF-4AC9-B757-32338EAEADB9}"/>
            </a:ext>
          </a:extLst>
        </xdr:cNvPr>
        <xdr:cNvSpPr txBox="1"/>
      </xdr:nvSpPr>
      <xdr:spPr>
        <a:xfrm>
          <a:off x="14363700" y="2028825"/>
          <a:ext cx="8188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Análise: </a:t>
          </a:r>
          <a:endParaRPr lang="pt-BR" sz="1400" b="0" i="1"/>
        </a:p>
      </xdr:txBody>
    </xdr:sp>
    <xdr:clientData/>
  </xdr:oneCellAnchor>
  <xdr:twoCellAnchor>
    <xdr:from>
      <xdr:col>14</xdr:col>
      <xdr:colOff>9524</xdr:colOff>
      <xdr:row>21</xdr:row>
      <xdr:rowOff>14286</xdr:rowOff>
    </xdr:from>
    <xdr:to>
      <xdr:col>19</xdr:col>
      <xdr:colOff>0</xdr:colOff>
      <xdr:row>41</xdr:row>
      <xdr:rowOff>171449</xdr:rowOff>
    </xdr:to>
    <xdr:graphicFrame macro="">
      <xdr:nvGraphicFramePr>
        <xdr:cNvPr id="13" name="Gráfico 12">
          <a:extLst>
            <a:ext uri="{FF2B5EF4-FFF2-40B4-BE49-F238E27FC236}">
              <a16:creationId xmlns:a16="http://schemas.microsoft.com/office/drawing/2014/main" id="{D5653FA5-62E7-C2CE-D365-40938381668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14</xdr:col>
      <xdr:colOff>1009650</xdr:colOff>
      <xdr:row>43</xdr:row>
      <xdr:rowOff>4761</xdr:rowOff>
    </xdr:from>
    <xdr:to>
      <xdr:col>18</xdr:col>
      <xdr:colOff>781049</xdr:colOff>
      <xdr:row>61</xdr:row>
      <xdr:rowOff>180974</xdr:rowOff>
    </xdr:to>
    <xdr:graphicFrame macro="">
      <xdr:nvGraphicFramePr>
        <xdr:cNvPr id="14" name="Gráfico 13">
          <a:extLst>
            <a:ext uri="{FF2B5EF4-FFF2-40B4-BE49-F238E27FC236}">
              <a16:creationId xmlns:a16="http://schemas.microsoft.com/office/drawing/2014/main" id="{6B4B860F-5D48-B7AD-2AD8-AB08843E6D3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oneCellAnchor>
    <xdr:from>
      <xdr:col>11</xdr:col>
      <xdr:colOff>581025</xdr:colOff>
      <xdr:row>62</xdr:row>
      <xdr:rowOff>127000</xdr:rowOff>
    </xdr:from>
    <xdr:ext cx="1781963" cy="311496"/>
    <xdr:sp macro="" textlink="">
      <xdr:nvSpPr>
        <xdr:cNvPr id="15" name="CaixaDeTexto 14">
          <a:extLst>
            <a:ext uri="{FF2B5EF4-FFF2-40B4-BE49-F238E27FC236}">
              <a16:creationId xmlns:a16="http://schemas.microsoft.com/office/drawing/2014/main" id="{6B9B4CC9-E9A1-43A9-999E-E228B5EABAC3}"/>
            </a:ext>
          </a:extLst>
        </xdr:cNvPr>
        <xdr:cNvSpPr txBox="1"/>
      </xdr:nvSpPr>
      <xdr:spPr>
        <a:xfrm>
          <a:off x="13077825" y="11938000"/>
          <a:ext cx="1781963"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Conclusão</a:t>
          </a:r>
          <a:r>
            <a:rPr lang="pt-BR" sz="1400" b="1" i="0" baseline="0"/>
            <a:t> e Insights</a:t>
          </a:r>
          <a:r>
            <a:rPr lang="pt-BR" sz="1400" b="1" i="0"/>
            <a:t>: </a:t>
          </a:r>
          <a:endParaRPr lang="pt-BR" sz="1400" b="0" i="1"/>
        </a:p>
      </xdr:txBody>
    </xdr:sp>
    <xdr:clientData/>
  </xdr:oneCellAnchor>
  <xdr:oneCellAnchor>
    <xdr:from>
      <xdr:col>11</xdr:col>
      <xdr:colOff>568050</xdr:colOff>
      <xdr:row>64</xdr:row>
      <xdr:rowOff>129560</xdr:rowOff>
    </xdr:from>
    <xdr:ext cx="10272749" cy="2064796"/>
    <xdr:sp macro="" textlink="">
      <xdr:nvSpPr>
        <xdr:cNvPr id="16" name="CaixaDeTexto 15">
          <a:extLst>
            <a:ext uri="{FF2B5EF4-FFF2-40B4-BE49-F238E27FC236}">
              <a16:creationId xmlns:a16="http://schemas.microsoft.com/office/drawing/2014/main" id="{385B74E8-2973-4604-90FA-73736C5B9397}"/>
            </a:ext>
          </a:extLst>
        </xdr:cNvPr>
        <xdr:cNvSpPr txBox="1"/>
      </xdr:nvSpPr>
      <xdr:spPr>
        <a:xfrm>
          <a:off x="13067366" y="12206541"/>
          <a:ext cx="10272749" cy="20647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0" i="0" baseline="0"/>
            <a:t>A análise dos investimentos por posições realizados pelo Tottenham Hotspur demonstrou que os meio-campistas receberam o maior</a:t>
          </a:r>
          <a:br>
            <a:rPr lang="pt-BR" sz="1400" b="0" i="0" baseline="0"/>
          </a:br>
          <a:r>
            <a:rPr lang="pt-BR" sz="1400" b="0" i="0" baseline="0"/>
            <a:t>volume de recursos financeiros durante o período analisado, concentrando cerca de </a:t>
          </a:r>
          <a:r>
            <a:rPr lang="pt-BR" sz="1400" b="1" i="0" baseline="0"/>
            <a:t>38,7% </a:t>
          </a:r>
          <a:r>
            <a:rPr lang="pt-BR" sz="1400" b="0" i="0" baseline="0"/>
            <a:t>do total. Logo em seguida, temos os atacantes,</a:t>
          </a:r>
          <a:br>
            <a:rPr lang="pt-BR" sz="1400" b="0" i="0" baseline="0"/>
          </a:br>
          <a:r>
            <a:rPr lang="pt-BR" sz="1400" b="0" i="0" baseline="0"/>
            <a:t>reunindo </a:t>
          </a:r>
          <a:r>
            <a:rPr lang="pt-BR" sz="1400" b="1" i="0" baseline="0"/>
            <a:t>36,2%</a:t>
          </a:r>
          <a:r>
            <a:rPr lang="pt-BR" sz="1400" b="0" i="0" baseline="0"/>
            <a:t> e, por fim, os defensores, para os quais foram direcionados </a:t>
          </a:r>
          <a:r>
            <a:rPr lang="pt-BR" sz="1400" b="1" i="0" baseline="0"/>
            <a:t>25,1%</a:t>
          </a:r>
          <a:r>
            <a:rPr lang="pt-BR" sz="1400" b="0" i="0" baseline="0"/>
            <a:t>. Apesar dos meio-campistas liderarem o ranking,</a:t>
          </a:r>
          <a:br>
            <a:rPr lang="pt-BR" sz="1400" b="0" i="0" baseline="0"/>
          </a:br>
          <a:r>
            <a:rPr lang="pt-BR" sz="1400" b="0" i="0" baseline="0"/>
            <a:t>a diferença em relação aos atacantes é de apenas </a:t>
          </a:r>
          <a:r>
            <a:rPr lang="pt-BR" sz="1400" b="1" i="0" baseline="0"/>
            <a:t>2,5%</a:t>
          </a:r>
          <a:r>
            <a:rPr lang="pt-BR" sz="1400" b="0" i="0" baseline="0"/>
            <a:t>, indicando uma distribuição relativamente equilibrada dos recursos destinados</a:t>
          </a:r>
          <a:br>
            <a:rPr lang="pt-BR" sz="1400" b="0" i="0" baseline="0"/>
          </a:br>
          <a:r>
            <a:rPr lang="pt-BR" sz="1400" b="0" i="0" baseline="0"/>
            <a:t>a estes setores do campo.</a:t>
          </a:r>
          <a:br>
            <a:rPr lang="pt-BR" sz="1400" b="0" i="0" baseline="0"/>
          </a:br>
          <a:endParaRPr lang="pt-BR" sz="1400" b="0" i="0"/>
        </a:p>
        <a:p>
          <a:pPr algn="ctr"/>
          <a:r>
            <a:rPr lang="pt-BR" sz="1400" b="0" i="0" baseline="0">
              <a:solidFill>
                <a:schemeClr val="tx1"/>
              </a:solidFill>
              <a:effectLst/>
              <a:latin typeface="+mn-lt"/>
              <a:ea typeface="+mn-ea"/>
              <a:cs typeface="+mn-cs"/>
            </a:rPr>
            <a:t>Em conjunto, meio-campistas e atacantes representaram aproximadamente </a:t>
          </a:r>
          <a:r>
            <a:rPr lang="pt-BR" sz="1400" b="1" i="0" baseline="0">
              <a:solidFill>
                <a:schemeClr val="tx1"/>
              </a:solidFill>
              <a:effectLst/>
              <a:latin typeface="+mn-lt"/>
              <a:ea typeface="+mn-ea"/>
              <a:cs typeface="+mn-cs"/>
            </a:rPr>
            <a:t>75%</a:t>
          </a:r>
          <a:r>
            <a:rPr lang="pt-BR" sz="1400" b="0" i="0" baseline="0">
              <a:solidFill>
                <a:schemeClr val="tx1"/>
              </a:solidFill>
              <a:effectLst/>
              <a:latin typeface="+mn-lt"/>
              <a:ea typeface="+mn-ea"/>
              <a:cs typeface="+mn-cs"/>
            </a:rPr>
            <a:t> dos investimentos realizados pelo clube, sugerindo uma</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estratégia voltada à consolidação dos setores de criação e conclusão das jogadas, que concentraram parcela superior dos recursos</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destinados às contratações.</a:t>
          </a:r>
        </a:p>
      </xdr:txBody>
    </xdr:sp>
    <xdr:clientData/>
  </xdr:oneCellAnchor>
</xdr:wsDr>
</file>

<file path=xl/drawings/drawing3.xml><?xml version="1.0" encoding="utf-8"?>
<xdr:wsDr xmlns:xdr="http://schemas.openxmlformats.org/drawingml/2006/spreadsheetDrawing" xmlns:a="http://schemas.openxmlformats.org/drawingml/2006/main">
  <xdr:oneCellAnchor>
    <xdr:from>
      <xdr:col>5</xdr:col>
      <xdr:colOff>399871</xdr:colOff>
      <xdr:row>0</xdr:row>
      <xdr:rowOff>180975</xdr:rowOff>
    </xdr:from>
    <xdr:ext cx="5387822" cy="405432"/>
    <xdr:sp macro="" textlink="">
      <xdr:nvSpPr>
        <xdr:cNvPr id="2" name="CaixaDeTexto 1">
          <a:extLst>
            <a:ext uri="{FF2B5EF4-FFF2-40B4-BE49-F238E27FC236}">
              <a16:creationId xmlns:a16="http://schemas.microsoft.com/office/drawing/2014/main" id="{812E5036-04FC-4BC0-83EE-297A7A4557B8}"/>
            </a:ext>
          </a:extLst>
        </xdr:cNvPr>
        <xdr:cNvSpPr txBox="1"/>
      </xdr:nvSpPr>
      <xdr:spPr>
        <a:xfrm>
          <a:off x="3447871" y="180975"/>
          <a:ext cx="5387822"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a:t>Justificativas Relacionadas a Tomada de Decisão:</a:t>
          </a:r>
        </a:p>
      </xdr:txBody>
    </xdr:sp>
    <xdr:clientData/>
  </xdr:oneCellAnchor>
  <xdr:oneCellAnchor>
    <xdr:from>
      <xdr:col>0</xdr:col>
      <xdr:colOff>176774</xdr:colOff>
      <xdr:row>3</xdr:row>
      <xdr:rowOff>38100</xdr:rowOff>
    </xdr:from>
    <xdr:ext cx="3130665" cy="327141"/>
    <xdr:sp macro="" textlink="">
      <xdr:nvSpPr>
        <xdr:cNvPr id="3" name="CaixaDeTexto 2">
          <a:extLst>
            <a:ext uri="{FF2B5EF4-FFF2-40B4-BE49-F238E27FC236}">
              <a16:creationId xmlns:a16="http://schemas.microsoft.com/office/drawing/2014/main" id="{55FA4AB0-D5EC-4E90-BACB-B6E12496CCD7}"/>
            </a:ext>
          </a:extLst>
        </xdr:cNvPr>
        <xdr:cNvSpPr txBox="1"/>
      </xdr:nvSpPr>
      <xdr:spPr>
        <a:xfrm>
          <a:off x="176774" y="609600"/>
          <a:ext cx="3130665"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1. Tratamento</a:t>
          </a:r>
          <a:r>
            <a:rPr lang="pt-BR" sz="1500" b="1" baseline="0"/>
            <a:t> e Limpeza dos Dados: </a:t>
          </a:r>
          <a:endParaRPr lang="pt-BR" sz="1500" b="1"/>
        </a:p>
      </xdr:txBody>
    </xdr:sp>
    <xdr:clientData/>
  </xdr:oneCellAnchor>
  <xdr:oneCellAnchor>
    <xdr:from>
      <xdr:col>0</xdr:col>
      <xdr:colOff>190500</xdr:colOff>
      <xdr:row>5</xdr:row>
      <xdr:rowOff>95250</xdr:rowOff>
    </xdr:from>
    <xdr:ext cx="12148329" cy="6292107"/>
    <xdr:sp macro="" textlink="">
      <xdr:nvSpPr>
        <xdr:cNvPr id="4" name="CaixaDeTexto 3">
          <a:extLst>
            <a:ext uri="{FF2B5EF4-FFF2-40B4-BE49-F238E27FC236}">
              <a16:creationId xmlns:a16="http://schemas.microsoft.com/office/drawing/2014/main" id="{B428225A-2FC9-412C-A6D7-F38CEB808060}"/>
            </a:ext>
          </a:extLst>
        </xdr:cNvPr>
        <xdr:cNvSpPr txBox="1"/>
      </xdr:nvSpPr>
      <xdr:spPr>
        <a:xfrm>
          <a:off x="190500" y="1047750"/>
          <a:ext cx="12148329" cy="62921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Em</a:t>
          </a:r>
          <a:r>
            <a:rPr lang="pt-BR" sz="1200" baseline="0"/>
            <a:t> meio ao processo de construção do projeto, temos diversos momentos em que precisamos tomar decisões importantes para que possamos seguir em frente. Neste caso, discorreremos sobre alguns deles durante o tratamento e a limpeza dos dados:</a:t>
          </a:r>
        </a:p>
        <a:p>
          <a:pPr algn="l"/>
          <a:endParaRPr lang="pt-BR" sz="1200" b="0" baseline="0"/>
        </a:p>
        <a:p>
          <a:pPr algn="l"/>
          <a:r>
            <a:rPr lang="pt-BR" sz="1200"/>
            <a:t>• Na 24ª linha da</a:t>
          </a:r>
          <a:r>
            <a:rPr lang="pt-BR" sz="1200" baseline="0"/>
            <a:t> planilha, foi identificada uma duplicação de cabeçalho, onde os nomes das colunas acabaram sendo introduzidos nos campos de valores da planilha. A decisão tomada nesta ocasião foi excluir a linha, visto que a mesma não possuía dados relevantes.</a:t>
          </a:r>
        </a:p>
        <a:p>
          <a:pPr algn="l"/>
          <a:r>
            <a:rPr lang="pt-BR" sz="1200"/>
            <a:t> </a:t>
          </a:r>
        </a:p>
        <a:p>
          <a:pPr algn="l"/>
          <a:r>
            <a:rPr lang="pt-BR" sz="1200"/>
            <a:t>• Na coluna </a:t>
          </a:r>
          <a:r>
            <a:rPr lang="pt-BR" sz="1200" b="1"/>
            <a:t>'temporada'</a:t>
          </a:r>
          <a:r>
            <a:rPr lang="pt-BR" sz="1200" b="0"/>
            <a:t>, </a:t>
          </a:r>
          <a:r>
            <a:rPr lang="pt-BR" sz="1200" b="0" baseline="0"/>
            <a:t>todos os dados que não seguiam o padrão (YYYY/YY) foram formatados para que fossem apresentados desta maneira. Foi utilizada a ferramenta Localizar e Selecionar para substituir ocorrências onde o sinal de traço - estava presente ao invés do sinal de barra /.</a:t>
          </a:r>
        </a:p>
        <a:p>
          <a:pPr algn="l"/>
          <a:endParaRPr lang="pt-BR" sz="1200" b="0" baseline="0"/>
        </a:p>
        <a:p>
          <a:pPr algn="l"/>
          <a:r>
            <a:rPr lang="pt-BR" sz="1100">
              <a:solidFill>
                <a:schemeClr val="tx1"/>
              </a:solidFill>
              <a:effectLst/>
              <a:latin typeface="+mn-lt"/>
              <a:ea typeface="+mn-ea"/>
              <a:cs typeface="+mn-cs"/>
            </a:rPr>
            <a:t>• </a:t>
          </a:r>
          <a:r>
            <a:rPr lang="pt-BR" sz="1200">
              <a:solidFill>
                <a:schemeClr val="tx1"/>
              </a:solidFill>
              <a:effectLst/>
              <a:latin typeface="+mn-lt"/>
              <a:ea typeface="+mn-ea"/>
              <a:cs typeface="+mn-cs"/>
            </a:rPr>
            <a:t>Na</a:t>
          </a:r>
          <a:r>
            <a:rPr lang="pt-BR" sz="1200" baseline="0">
              <a:solidFill>
                <a:schemeClr val="tx1"/>
              </a:solidFill>
              <a:effectLst/>
              <a:latin typeface="+mn-lt"/>
              <a:ea typeface="+mn-ea"/>
              <a:cs typeface="+mn-cs"/>
            </a:rPr>
            <a:t> coluna </a:t>
          </a:r>
          <a:r>
            <a:rPr lang="pt-BR" sz="1200" b="1" baseline="0">
              <a:solidFill>
                <a:schemeClr val="tx1"/>
              </a:solidFill>
              <a:effectLst/>
              <a:latin typeface="+mn-lt"/>
              <a:ea typeface="+mn-ea"/>
              <a:cs typeface="+mn-cs"/>
            </a:rPr>
            <a:t>'tipo_movimentação'</a:t>
          </a:r>
          <a:r>
            <a:rPr lang="pt-BR" sz="1200" b="0" baseline="0">
              <a:solidFill>
                <a:schemeClr val="tx1"/>
              </a:solidFill>
              <a:effectLst/>
              <a:latin typeface="+mn-lt"/>
              <a:ea typeface="+mn-ea"/>
              <a:cs typeface="+mn-cs"/>
            </a:rPr>
            <a:t>, existem apenas dois valores: Entrada ou Saída. Contudo, haviam ocorrências de valores semelhantes escritos de formas diferentes, como ENTRADA e saida, por exemplo. Em vista disso, foi criada uma nova coluna com o mesmo nome porém com a formatação de todos os valores com a fórmula </a:t>
          </a:r>
          <a:r>
            <a:rPr lang="pt-BR" sz="1200" b="1" baseline="0">
              <a:solidFill>
                <a:schemeClr val="tx1"/>
              </a:solidFill>
              <a:effectLst/>
              <a:latin typeface="+mn-lt"/>
              <a:ea typeface="+mn-ea"/>
              <a:cs typeface="+mn-cs"/>
            </a:rPr>
            <a:t>=PRI.MAIÚSCULA()</a:t>
          </a:r>
          <a:r>
            <a:rPr lang="pt-BR" sz="1200" b="0" baseline="0">
              <a:solidFill>
                <a:schemeClr val="tx1"/>
              </a:solidFill>
              <a:effectLst/>
              <a:latin typeface="+mn-lt"/>
              <a:ea typeface="+mn-ea"/>
              <a:cs typeface="+mn-cs"/>
            </a:rPr>
            <a:t> para padronizar com a primeira letra maiúscula. Além disso, houveram a presença de dados ausentes. Como a base de dados não é tão grande, a decisão tomada foi pesquisar e incluir os dados faltantes na planilha.</a:t>
          </a:r>
        </a:p>
        <a:p>
          <a:pPr algn="l"/>
          <a:endParaRPr lang="pt-BR" sz="1200" b="0" baseline="0">
            <a:solidFill>
              <a:schemeClr val="tx1"/>
            </a:solidFill>
            <a:effectLst/>
            <a:latin typeface="+mn-lt"/>
            <a:ea typeface="+mn-ea"/>
            <a:cs typeface="+mn-cs"/>
          </a:endParaRPr>
        </a:p>
        <a:p>
          <a:pPr algn="l"/>
          <a:r>
            <a:rPr lang="pt-BR" sz="1100">
              <a:solidFill>
                <a:schemeClr val="tx1"/>
              </a:solidFill>
              <a:effectLst/>
              <a:latin typeface="+mn-lt"/>
              <a:ea typeface="+mn-ea"/>
              <a:cs typeface="+mn-cs"/>
            </a:rPr>
            <a:t>• </a:t>
          </a:r>
          <a:r>
            <a:rPr lang="pt-BR" sz="1200">
              <a:solidFill>
                <a:schemeClr val="tx1"/>
              </a:solidFill>
              <a:effectLst/>
              <a:latin typeface="+mn-lt"/>
              <a:ea typeface="+mn-ea"/>
              <a:cs typeface="+mn-cs"/>
            </a:rPr>
            <a:t>A coluna </a:t>
          </a:r>
          <a:r>
            <a:rPr lang="pt-BR" sz="1200" b="1">
              <a:solidFill>
                <a:schemeClr val="tx1"/>
              </a:solidFill>
              <a:effectLst/>
              <a:latin typeface="+mn-lt"/>
              <a:ea typeface="+mn-ea"/>
              <a:cs typeface="+mn-cs"/>
            </a:rPr>
            <a:t>'nome_jogador' </a:t>
          </a:r>
          <a:r>
            <a:rPr lang="pt-BR" sz="1200" b="0">
              <a:solidFill>
                <a:schemeClr val="tx1"/>
              </a:solidFill>
              <a:effectLst/>
              <a:latin typeface="+mn-lt"/>
              <a:ea typeface="+mn-ea"/>
              <a:cs typeface="+mn-cs"/>
            </a:rPr>
            <a:t>apresentou inconsistências como</a:t>
          </a:r>
          <a:r>
            <a:rPr lang="pt-BR" sz="1200" b="0" baseline="0">
              <a:solidFill>
                <a:schemeClr val="tx1"/>
              </a:solidFill>
              <a:effectLst/>
              <a:latin typeface="+mn-lt"/>
              <a:ea typeface="+mn-ea"/>
              <a:cs typeface="+mn-cs"/>
            </a:rPr>
            <a:t> falta de acentos e traços em nomes de determinados jogadores e elas foram resolvidas à mão. Analisando a variável, também conseguimos identificar a presença de um valor duplicado no caso do jogador Harry Kane e tratamos de excluí-lo com o auxílio da ferramenta Remover Duplicatas. Novamente, utilizamos a fórmula </a:t>
          </a:r>
          <a:r>
            <a:rPr lang="pt-BR" sz="1200" b="1" baseline="0">
              <a:solidFill>
                <a:schemeClr val="tx1"/>
              </a:solidFill>
              <a:effectLst/>
              <a:latin typeface="+mn-lt"/>
              <a:ea typeface="+mn-ea"/>
              <a:cs typeface="+mn-cs"/>
            </a:rPr>
            <a:t>=PRI.MAIÚSCULA() </a:t>
          </a:r>
          <a:r>
            <a:rPr lang="pt-BR" sz="1200" b="0" baseline="0">
              <a:solidFill>
                <a:schemeClr val="tx1"/>
              </a:solidFill>
              <a:effectLst/>
              <a:latin typeface="+mn-lt"/>
              <a:ea typeface="+mn-ea"/>
              <a:cs typeface="+mn-cs"/>
            </a:rPr>
            <a:t>para formatar corretamente o texto.</a:t>
          </a:r>
          <a:endParaRPr lang="pt-BR" sz="1200" b="0"/>
        </a:p>
        <a:p>
          <a:pPr algn="l"/>
          <a:endParaRPr lang="pt-BR" sz="1200"/>
        </a:p>
        <a:p>
          <a:pPr algn="l"/>
          <a:r>
            <a:rPr lang="pt-BR" sz="1100">
              <a:solidFill>
                <a:schemeClr val="tx1"/>
              </a:solidFill>
              <a:effectLst/>
              <a:latin typeface="+mn-lt"/>
              <a:ea typeface="+mn-ea"/>
              <a:cs typeface="+mn-cs"/>
            </a:rPr>
            <a:t>• </a:t>
          </a:r>
          <a:r>
            <a:rPr lang="pt-BR" sz="1200">
              <a:solidFill>
                <a:schemeClr val="tx1"/>
              </a:solidFill>
              <a:effectLst/>
              <a:latin typeface="+mn-lt"/>
              <a:ea typeface="+mn-ea"/>
              <a:cs typeface="+mn-cs"/>
            </a:rPr>
            <a:t>Na</a:t>
          </a:r>
          <a:r>
            <a:rPr lang="pt-BR" sz="1200" baseline="0">
              <a:solidFill>
                <a:schemeClr val="tx1"/>
              </a:solidFill>
              <a:effectLst/>
              <a:latin typeface="+mn-lt"/>
              <a:ea typeface="+mn-ea"/>
              <a:cs typeface="+mn-cs"/>
            </a:rPr>
            <a:t> coluna </a:t>
          </a:r>
          <a:r>
            <a:rPr lang="pt-BR" sz="1200" b="1" baseline="0">
              <a:solidFill>
                <a:schemeClr val="tx1"/>
              </a:solidFill>
              <a:effectLst/>
              <a:latin typeface="+mn-lt"/>
              <a:ea typeface="+mn-ea"/>
              <a:cs typeface="+mn-cs"/>
            </a:rPr>
            <a:t>'posição'</a:t>
          </a:r>
          <a:r>
            <a:rPr lang="pt-BR" sz="1200" b="0" baseline="0">
              <a:solidFill>
                <a:schemeClr val="tx1"/>
              </a:solidFill>
              <a:effectLst/>
              <a:latin typeface="+mn-lt"/>
              <a:ea typeface="+mn-ea"/>
              <a:cs typeface="+mn-cs"/>
            </a:rPr>
            <a:t>, foi identificada a presença de diversas posições distribuídas inconsistentemente. Em busca de padronizar os valores desta coluna, os mesmos foram modificados para que seguissem uma de três categorias: Defensor, Meio-campista ou Atacante. Desta forma, eles estarão em melhor estado quando as análises forem realizadas.</a:t>
          </a:r>
          <a:endParaRPr lang="pt-BR" sz="1200"/>
        </a:p>
        <a:p>
          <a:pPr algn="l"/>
          <a:endParaRPr lang="pt-BR" sz="1200"/>
        </a:p>
        <a:p>
          <a:pPr algn="l"/>
          <a:r>
            <a:rPr lang="pt-BR" sz="1200"/>
            <a:t>• Semelhantemente</a:t>
          </a:r>
          <a:r>
            <a:rPr lang="pt-BR" sz="1200" baseline="0"/>
            <a:t> às outras colunas, </a:t>
          </a:r>
          <a:r>
            <a:rPr lang="pt-BR" sz="1200" b="1" baseline="0"/>
            <a:t>'nacionalidade'</a:t>
          </a:r>
          <a:r>
            <a:rPr lang="pt-BR" sz="1200" b="0" baseline="0"/>
            <a:t> também apresentou registros inconsistentes quanto a formatação de letras maiúsculas, minúsculas e espaços desnecessários. Ambos os problemas foram resolvidos através da combinação das fórmulas </a:t>
          </a:r>
          <a:r>
            <a:rPr lang="pt-BR" sz="1200" b="1" baseline="0"/>
            <a:t>=ARRUMAR() </a:t>
          </a:r>
          <a:r>
            <a:rPr lang="pt-BR" sz="1200" b="0" baseline="0"/>
            <a:t>e </a:t>
          </a:r>
          <a:r>
            <a:rPr lang="pt-BR" sz="1200" b="1" baseline="0"/>
            <a:t>=PRI.MAIÚSCULA()</a:t>
          </a:r>
          <a:r>
            <a:rPr lang="pt-BR" sz="1200" b="0" baseline="0"/>
            <a:t>.</a:t>
          </a:r>
        </a:p>
        <a:p>
          <a:pPr algn="l"/>
          <a:endParaRPr lang="pt-BR" sz="1200"/>
        </a:p>
        <a:p>
          <a:pPr algn="l"/>
          <a:r>
            <a:rPr lang="pt-BR" sz="1100" b="0">
              <a:solidFill>
                <a:schemeClr val="tx1"/>
              </a:solidFill>
              <a:effectLst/>
              <a:latin typeface="+mn-lt"/>
              <a:ea typeface="+mn-ea"/>
              <a:cs typeface="+mn-cs"/>
            </a:rPr>
            <a:t>• </a:t>
          </a:r>
          <a:r>
            <a:rPr lang="pt-BR" sz="1200" b="0">
              <a:solidFill>
                <a:schemeClr val="tx1"/>
              </a:solidFill>
              <a:effectLst/>
              <a:latin typeface="+mn-lt"/>
              <a:ea typeface="+mn-ea"/>
              <a:cs typeface="+mn-cs"/>
            </a:rPr>
            <a:t>Em</a:t>
          </a:r>
          <a:r>
            <a:rPr lang="pt-BR" sz="1200" b="0" baseline="0">
              <a:solidFill>
                <a:schemeClr val="tx1"/>
              </a:solidFill>
              <a:effectLst/>
              <a:latin typeface="+mn-lt"/>
              <a:ea typeface="+mn-ea"/>
              <a:cs typeface="+mn-cs"/>
            </a:rPr>
            <a:t> </a:t>
          </a:r>
          <a:r>
            <a:rPr lang="pt-BR" sz="1200" b="1" baseline="0">
              <a:solidFill>
                <a:schemeClr val="tx1"/>
              </a:solidFill>
              <a:effectLst/>
              <a:latin typeface="+mn-lt"/>
              <a:ea typeface="+mn-ea"/>
              <a:cs typeface="+mn-cs"/>
            </a:rPr>
            <a:t>'clube'</a:t>
          </a:r>
          <a:r>
            <a:rPr lang="pt-BR" sz="1200" b="0" baseline="0">
              <a:solidFill>
                <a:schemeClr val="tx1"/>
              </a:solidFill>
              <a:effectLst/>
              <a:latin typeface="+mn-lt"/>
              <a:ea typeface="+mn-ea"/>
              <a:cs typeface="+mn-cs"/>
            </a:rPr>
            <a:t>, apenas pequenas correções relacionadas aos nomes dos clubes foram realizadas.</a:t>
          </a:r>
          <a:endParaRPr lang="pt-BR" sz="1200"/>
        </a:p>
        <a:p>
          <a:pPr algn="l"/>
          <a:endParaRPr lang="pt-BR" sz="1200"/>
        </a:p>
        <a:p>
          <a:pPr algn="l"/>
          <a:r>
            <a:rPr lang="pt-BR" sz="1100" b="0">
              <a:solidFill>
                <a:schemeClr val="tx1"/>
              </a:solidFill>
              <a:effectLst/>
              <a:latin typeface="+mn-lt"/>
              <a:ea typeface="+mn-ea"/>
              <a:cs typeface="+mn-cs"/>
            </a:rPr>
            <a:t>• </a:t>
          </a:r>
          <a:r>
            <a:rPr lang="pt-BR" sz="1200" b="0">
              <a:solidFill>
                <a:schemeClr val="tx1"/>
              </a:solidFill>
              <a:effectLst/>
              <a:latin typeface="+mn-lt"/>
              <a:ea typeface="+mn-ea"/>
              <a:cs typeface="+mn-cs"/>
            </a:rPr>
            <a:t>Na</a:t>
          </a:r>
          <a:r>
            <a:rPr lang="pt-BR" sz="1200" b="0" baseline="0">
              <a:solidFill>
                <a:schemeClr val="tx1"/>
              </a:solidFill>
              <a:effectLst/>
              <a:latin typeface="+mn-lt"/>
              <a:ea typeface="+mn-ea"/>
              <a:cs typeface="+mn-cs"/>
            </a:rPr>
            <a:t> coluna </a:t>
          </a:r>
          <a:r>
            <a:rPr lang="pt-BR" sz="1200" b="1" baseline="0">
              <a:solidFill>
                <a:schemeClr val="tx1"/>
              </a:solidFill>
              <a:effectLst/>
              <a:latin typeface="+mn-lt"/>
              <a:ea typeface="+mn-ea"/>
              <a:cs typeface="+mn-cs"/>
            </a:rPr>
            <a:t>'valor_transferencia'</a:t>
          </a:r>
          <a:r>
            <a:rPr lang="pt-BR" sz="1200" b="0" baseline="0">
              <a:solidFill>
                <a:schemeClr val="tx1"/>
              </a:solidFill>
              <a:effectLst/>
              <a:latin typeface="+mn-lt"/>
              <a:ea typeface="+mn-ea"/>
              <a:cs typeface="+mn-cs"/>
            </a:rPr>
            <a:t>, foi possível identificar diversas inconsistências. Primeiramente, os dados estavam disponibilizados em formatos monetários diferentes (por exemplo, 35M e 45.000.000 na mesma coluna), o que nos levou a modificar cada um dos registros manualmente. Esta decisão foi tomada considerando, principalmente, o tamanho da base de dados. Caso a mesma fosse maior, seria necessária outra abordagem. Em seguida, formatamos os valores como Número e para Moeda. Alguns jogadores estão com instâncias onde o 0 está presente, o que indica que sua entrada/saída não custou dinheiro ao clube.</a:t>
          </a:r>
          <a:endParaRPr lang="pt-BR" sz="1200"/>
        </a:p>
        <a:p>
          <a:pPr algn="l"/>
          <a:endParaRPr lang="pt-BR" sz="1200"/>
        </a:p>
        <a:p>
          <a:pPr algn="l"/>
          <a:r>
            <a:rPr lang="pt-BR" sz="1200" b="0"/>
            <a:t>•</a:t>
          </a:r>
          <a:r>
            <a:rPr lang="pt-BR" sz="1200" b="1"/>
            <a:t> </a:t>
          </a:r>
          <a:r>
            <a:rPr lang="pt-BR" sz="1200" b="0"/>
            <a:t>Em</a:t>
          </a:r>
          <a:r>
            <a:rPr lang="pt-BR" sz="1200" b="0" baseline="0"/>
            <a:t> relação à coluna </a:t>
          </a:r>
          <a:r>
            <a:rPr lang="pt-BR" sz="1200" b="1" baseline="0"/>
            <a:t>'idade'</a:t>
          </a:r>
          <a:r>
            <a:rPr lang="pt-BR" sz="1200" b="0" baseline="0"/>
            <a:t>, foi necessário formatá-la inteiramente como Número para que seus valores assumissem o tipo correto.</a:t>
          </a:r>
        </a:p>
        <a:p>
          <a:pPr algn="l"/>
          <a:endParaRPr lang="pt-BR" sz="1200" b="0" baseline="0"/>
        </a:p>
        <a:p>
          <a:pPr algn="l"/>
          <a:r>
            <a:rPr lang="pt-BR" sz="1200" b="0"/>
            <a:t>•</a:t>
          </a:r>
          <a:r>
            <a:rPr lang="pt-BR" sz="1200" b="1"/>
            <a:t> </a:t>
          </a:r>
          <a:r>
            <a:rPr lang="pt-BR" sz="1200" b="0"/>
            <a:t>Na</a:t>
          </a:r>
          <a:r>
            <a:rPr lang="pt-BR" sz="1200" b="0" baseline="0"/>
            <a:t> coluna </a:t>
          </a:r>
          <a:r>
            <a:rPr lang="pt-BR" sz="1200" b="1" baseline="0"/>
            <a:t>'tipo_negociacao'</a:t>
          </a:r>
          <a:r>
            <a:rPr lang="pt-BR" sz="1200" b="0" baseline="0"/>
            <a:t>, foram utilizadas as fórmulas </a:t>
          </a:r>
          <a:r>
            <a:rPr lang="pt-BR" sz="1200" b="1" baseline="0"/>
            <a:t>=ARRUMAR()</a:t>
          </a:r>
          <a:r>
            <a:rPr lang="pt-BR" sz="1200" b="0" baseline="0"/>
            <a:t> e </a:t>
          </a:r>
          <a:r>
            <a:rPr lang="pt-BR" sz="1200" b="1" baseline="0"/>
            <a:t>=PRI.MAIÚSCULA() </a:t>
          </a:r>
          <a:r>
            <a:rPr lang="pt-BR" sz="1200" b="0" baseline="0"/>
            <a:t>para formatarmos os valores.</a:t>
          </a:r>
          <a:endParaRPr lang="pt-BR" sz="1200" b="0"/>
        </a:p>
      </xdr:txBody>
    </xdr:sp>
    <xdr:clientData/>
  </xdr:oneCellAnchor>
  <xdr:oneCellAnchor>
    <xdr:from>
      <xdr:col>0</xdr:col>
      <xdr:colOff>182274</xdr:colOff>
      <xdr:row>39</xdr:row>
      <xdr:rowOff>19050</xdr:rowOff>
    </xdr:from>
    <xdr:ext cx="1089722" cy="327141"/>
    <xdr:sp macro="" textlink="">
      <xdr:nvSpPr>
        <xdr:cNvPr id="5" name="CaixaDeTexto 4">
          <a:extLst>
            <a:ext uri="{FF2B5EF4-FFF2-40B4-BE49-F238E27FC236}">
              <a16:creationId xmlns:a16="http://schemas.microsoft.com/office/drawing/2014/main" id="{6C786A4C-B0FC-4E5F-AD02-BC4A3FA750C2}"/>
            </a:ext>
          </a:extLst>
        </xdr:cNvPr>
        <xdr:cNvSpPr txBox="1"/>
      </xdr:nvSpPr>
      <xdr:spPr>
        <a:xfrm>
          <a:off x="182274" y="7448550"/>
          <a:ext cx="1089722"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2. Análises:</a:t>
          </a:r>
        </a:p>
      </xdr:txBody>
    </xdr:sp>
    <xdr:clientData/>
  </xdr:oneCellAnchor>
  <xdr:oneCellAnchor>
    <xdr:from>
      <xdr:col>0</xdr:col>
      <xdr:colOff>190500</xdr:colOff>
      <xdr:row>41</xdr:row>
      <xdr:rowOff>57150</xdr:rowOff>
    </xdr:from>
    <xdr:ext cx="12148329" cy="7231467"/>
    <xdr:sp macro="" textlink="">
      <xdr:nvSpPr>
        <xdr:cNvPr id="6" name="CaixaDeTexto 5">
          <a:extLst>
            <a:ext uri="{FF2B5EF4-FFF2-40B4-BE49-F238E27FC236}">
              <a16:creationId xmlns:a16="http://schemas.microsoft.com/office/drawing/2014/main" id="{B3276CCD-3451-4463-A90F-1B3080FC64A9}"/>
            </a:ext>
          </a:extLst>
        </xdr:cNvPr>
        <xdr:cNvSpPr txBox="1"/>
      </xdr:nvSpPr>
      <xdr:spPr>
        <a:xfrm>
          <a:off x="190500" y="7867650"/>
          <a:ext cx="12148329" cy="72314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a:t>
          </a:r>
          <a:r>
            <a:rPr lang="pt-BR" sz="1200" b="1"/>
            <a:t>1ª</a:t>
          </a:r>
          <a:r>
            <a:rPr lang="pt-BR" sz="1200" b="1" baseline="0"/>
            <a:t> análise: </a:t>
          </a:r>
          <a:r>
            <a:rPr lang="pt-BR" sz="1200" b="0" baseline="0"/>
            <a:t>No processo da primeira análise, criei uma tabela dinâmica baseando-se em três colunas essenciais: </a:t>
          </a:r>
          <a:r>
            <a:rPr lang="pt-BR" sz="1200" b="1" baseline="0"/>
            <a:t>temporada</a:t>
          </a:r>
          <a:r>
            <a:rPr lang="pt-BR" sz="1200" b="0" baseline="0"/>
            <a:t>, </a:t>
          </a:r>
          <a:r>
            <a:rPr lang="pt-BR" sz="1200" b="1" baseline="0"/>
            <a:t>tipo_movimentação </a:t>
          </a:r>
          <a:r>
            <a:rPr lang="pt-BR" sz="1200" b="0" baseline="0"/>
            <a:t>e </a:t>
          </a:r>
          <a:r>
            <a:rPr lang="pt-BR" sz="1200" b="1" baseline="0"/>
            <a:t>valor_transferência</a:t>
          </a:r>
          <a:r>
            <a:rPr lang="pt-BR" sz="1200" b="0" baseline="0"/>
            <a:t>. Utilizei tipo_movimentação como coluna para disponibilizar as duas categorias presentes nela: "Entrada" ou "Saída". Desta forma, cada uma seria apresentada como uma coluna diferente na visualização da tabela dinâmica. Por fim, incluí valor_transferência no campo de valores para mostrar cada cifra no formato de soma.</a:t>
          </a:r>
        </a:p>
        <a:p>
          <a:pPr algn="l"/>
          <a:endParaRPr lang="pt-BR" sz="1200" b="0" baseline="0"/>
        </a:p>
        <a:p>
          <a:pPr algn="l"/>
          <a:r>
            <a:rPr lang="pt-BR" sz="1200">
              <a:solidFill>
                <a:schemeClr val="tx1"/>
              </a:solidFill>
              <a:effectLst/>
              <a:latin typeface="+mn-lt"/>
              <a:ea typeface="+mn-ea"/>
              <a:cs typeface="+mn-cs"/>
            </a:rPr>
            <a:t>• </a:t>
          </a:r>
          <a:r>
            <a:rPr lang="pt-BR" sz="1200" b="1">
              <a:solidFill>
                <a:schemeClr val="tx1"/>
              </a:solidFill>
              <a:effectLst/>
              <a:latin typeface="+mn-lt"/>
              <a:ea typeface="+mn-ea"/>
              <a:cs typeface="+mn-cs"/>
            </a:rPr>
            <a:t>2ª</a:t>
          </a:r>
          <a:r>
            <a:rPr lang="pt-BR" sz="1200" b="1" baseline="0">
              <a:solidFill>
                <a:schemeClr val="tx1"/>
              </a:solidFill>
              <a:effectLst/>
              <a:latin typeface="+mn-lt"/>
              <a:ea typeface="+mn-ea"/>
              <a:cs typeface="+mn-cs"/>
            </a:rPr>
            <a:t> análise: </a:t>
          </a:r>
          <a:r>
            <a:rPr lang="pt-BR" sz="1200" b="0" baseline="0">
              <a:solidFill>
                <a:schemeClr val="tx1"/>
              </a:solidFill>
              <a:effectLst/>
              <a:latin typeface="+mn-lt"/>
              <a:ea typeface="+mn-ea"/>
              <a:cs typeface="+mn-cs"/>
            </a:rPr>
            <a:t>Na segunda análise, utilizei a variável </a:t>
          </a:r>
          <a:r>
            <a:rPr lang="pt-BR" sz="1200" b="1" baseline="0">
              <a:solidFill>
                <a:schemeClr val="tx1"/>
              </a:solidFill>
              <a:effectLst/>
              <a:latin typeface="+mn-lt"/>
              <a:ea typeface="+mn-ea"/>
              <a:cs typeface="+mn-cs"/>
            </a:rPr>
            <a:t>posição</a:t>
          </a:r>
          <a:r>
            <a:rPr lang="pt-BR" sz="1200" b="0" baseline="0">
              <a:solidFill>
                <a:schemeClr val="tx1"/>
              </a:solidFill>
              <a:effectLst/>
              <a:latin typeface="+mn-lt"/>
              <a:ea typeface="+mn-ea"/>
              <a:cs typeface="+mn-cs"/>
            </a:rPr>
            <a:t> juntamente à coluna </a:t>
          </a:r>
          <a:r>
            <a:rPr lang="pt-BR" sz="1200" b="1" baseline="0">
              <a:solidFill>
                <a:schemeClr val="tx1"/>
              </a:solidFill>
              <a:effectLst/>
              <a:latin typeface="+mn-lt"/>
              <a:ea typeface="+mn-ea"/>
              <a:cs typeface="+mn-cs"/>
            </a:rPr>
            <a:t>tipo_movimentação</a:t>
          </a:r>
          <a:r>
            <a:rPr lang="pt-BR" sz="1200" b="0" baseline="0">
              <a:solidFill>
                <a:schemeClr val="tx1"/>
              </a:solidFill>
              <a:effectLst/>
              <a:latin typeface="+mn-lt"/>
              <a:ea typeface="+mn-ea"/>
              <a:cs typeface="+mn-cs"/>
            </a:rPr>
            <a:t> filtrada pelo valor "Entrada" para especificar que eu desejava obter apenas os dados de quem chegou ao clube. Em seguida, no campo de Valores, introduzi as cifras somadas destes jogadores através da inserção de </a:t>
          </a:r>
          <a:r>
            <a:rPr lang="pt-BR" sz="1200" b="1" baseline="0">
              <a:solidFill>
                <a:schemeClr val="tx1"/>
              </a:solidFill>
              <a:effectLst/>
              <a:latin typeface="+mn-lt"/>
              <a:ea typeface="+mn-ea"/>
              <a:cs typeface="+mn-cs"/>
            </a:rPr>
            <a:t>valor_transferência</a:t>
          </a:r>
          <a:r>
            <a:rPr lang="pt-BR" sz="1200" b="0" baseline="0">
              <a:solidFill>
                <a:schemeClr val="tx1"/>
              </a:solidFill>
              <a:effectLst/>
              <a:latin typeface="+mn-lt"/>
              <a:ea typeface="+mn-ea"/>
              <a:cs typeface="+mn-cs"/>
            </a:rPr>
            <a:t> na tabela dinâmica. Semelhante à análise anterior, também criei uma tabela adjacente porém contendo todas as posições dos jogadores e o quanto seus percentuais representavam em relação ao total. Para tanto, selecionei individualmente cada valor pela posição e dividi pelo resultado da soma entre todos.</a:t>
          </a:r>
        </a:p>
        <a:p>
          <a:pPr algn="l"/>
          <a:endParaRPr lang="pt-BR" sz="1200" b="0" baseline="0">
            <a:solidFill>
              <a:schemeClr val="tx1"/>
            </a:solidFill>
            <a:effectLst/>
            <a:latin typeface="+mn-lt"/>
            <a:ea typeface="+mn-ea"/>
            <a:cs typeface="+mn-cs"/>
          </a:endParaRPr>
        </a:p>
        <a:p>
          <a:pPr algn="l"/>
          <a:r>
            <a:rPr lang="pt-BR" sz="1200" b="0" baseline="0">
              <a:solidFill>
                <a:schemeClr val="tx1"/>
              </a:solidFill>
              <a:effectLst/>
              <a:latin typeface="+mn-lt"/>
              <a:ea typeface="+mn-ea"/>
              <a:cs typeface="+mn-cs"/>
            </a:rPr>
            <a:t>Optei pelos gráficos de barras agrupadas e pizza pois contávamos com poucas categorias, o que se encaixava bem com a proposta de cada tipo de gráfico.</a:t>
          </a:r>
          <a:endParaRPr lang="pt-BR" sz="1200" b="0" baseline="0"/>
        </a:p>
        <a:p>
          <a:pPr algn="l"/>
          <a:r>
            <a:rPr lang="pt-BR" sz="1200"/>
            <a:t> </a:t>
          </a:r>
        </a:p>
        <a:p>
          <a:pPr algn="l"/>
          <a:r>
            <a:rPr lang="pt-BR" sz="1200"/>
            <a:t>• Na coluna </a:t>
          </a:r>
          <a:r>
            <a:rPr lang="pt-BR" sz="1200" b="1"/>
            <a:t>'temporada'</a:t>
          </a:r>
          <a:r>
            <a:rPr lang="pt-BR" sz="1200" b="0"/>
            <a:t>, </a:t>
          </a:r>
          <a:r>
            <a:rPr lang="pt-BR" sz="1200" b="0" baseline="0"/>
            <a:t>todos os dados que não seguiam o padrão (YYYY/YY) foram formatados para que fossem apresentados desta maneira. Foi utilizada a ferramenta Localizar e Selecionar para substituir ocorrências onde o sinal de traço - estava presente ao invés do sinal de barra /.</a:t>
          </a:r>
        </a:p>
        <a:p>
          <a:pPr algn="l"/>
          <a:endParaRPr lang="pt-BR" sz="1200" b="0" baseline="0"/>
        </a:p>
        <a:p>
          <a:pPr algn="l"/>
          <a:r>
            <a:rPr lang="pt-BR" sz="1100">
              <a:solidFill>
                <a:schemeClr val="tx1"/>
              </a:solidFill>
              <a:effectLst/>
              <a:latin typeface="+mn-lt"/>
              <a:ea typeface="+mn-ea"/>
              <a:cs typeface="+mn-cs"/>
            </a:rPr>
            <a:t>• </a:t>
          </a:r>
          <a:r>
            <a:rPr lang="pt-BR" sz="1200">
              <a:solidFill>
                <a:schemeClr val="tx1"/>
              </a:solidFill>
              <a:effectLst/>
              <a:latin typeface="+mn-lt"/>
              <a:ea typeface="+mn-ea"/>
              <a:cs typeface="+mn-cs"/>
            </a:rPr>
            <a:t>Na</a:t>
          </a:r>
          <a:r>
            <a:rPr lang="pt-BR" sz="1200" baseline="0">
              <a:solidFill>
                <a:schemeClr val="tx1"/>
              </a:solidFill>
              <a:effectLst/>
              <a:latin typeface="+mn-lt"/>
              <a:ea typeface="+mn-ea"/>
              <a:cs typeface="+mn-cs"/>
            </a:rPr>
            <a:t> coluna </a:t>
          </a:r>
          <a:r>
            <a:rPr lang="pt-BR" sz="1200" b="1" baseline="0">
              <a:solidFill>
                <a:schemeClr val="tx1"/>
              </a:solidFill>
              <a:effectLst/>
              <a:latin typeface="+mn-lt"/>
              <a:ea typeface="+mn-ea"/>
              <a:cs typeface="+mn-cs"/>
            </a:rPr>
            <a:t>'tipo_movimentação'</a:t>
          </a:r>
          <a:r>
            <a:rPr lang="pt-BR" sz="1200" b="0" baseline="0">
              <a:solidFill>
                <a:schemeClr val="tx1"/>
              </a:solidFill>
              <a:effectLst/>
              <a:latin typeface="+mn-lt"/>
              <a:ea typeface="+mn-ea"/>
              <a:cs typeface="+mn-cs"/>
            </a:rPr>
            <a:t>, existem apenas dois valores: Entrada ou Saída. Contudo, haviam ocorrências de valores semelhantes escritos de formas diferentes, como ENTRADA e saida, por exemplo. Em vista disso, foi criada uma nova coluna com o mesmo nome porém com a formatação de todos os valores com a fórmula </a:t>
          </a:r>
          <a:r>
            <a:rPr lang="pt-BR" sz="1200" b="1" baseline="0">
              <a:solidFill>
                <a:schemeClr val="tx1"/>
              </a:solidFill>
              <a:effectLst/>
              <a:latin typeface="+mn-lt"/>
              <a:ea typeface="+mn-ea"/>
              <a:cs typeface="+mn-cs"/>
            </a:rPr>
            <a:t>=PRI.MAIÚSCULA()</a:t>
          </a:r>
          <a:r>
            <a:rPr lang="pt-BR" sz="1200" b="0" baseline="0">
              <a:solidFill>
                <a:schemeClr val="tx1"/>
              </a:solidFill>
              <a:effectLst/>
              <a:latin typeface="+mn-lt"/>
              <a:ea typeface="+mn-ea"/>
              <a:cs typeface="+mn-cs"/>
            </a:rPr>
            <a:t> para padronizar com a primeira letra maiúscula. Além disso, houveram a presença de dados ausentes. Como a base de dados não é tão grande, a decisão tomada foi pesquisar e incluir os dados faltantes na planilha.</a:t>
          </a:r>
        </a:p>
        <a:p>
          <a:pPr algn="l"/>
          <a:endParaRPr lang="pt-BR" sz="1200" b="0" baseline="0">
            <a:solidFill>
              <a:schemeClr val="tx1"/>
            </a:solidFill>
            <a:effectLst/>
            <a:latin typeface="+mn-lt"/>
            <a:ea typeface="+mn-ea"/>
            <a:cs typeface="+mn-cs"/>
          </a:endParaRPr>
        </a:p>
        <a:p>
          <a:pPr algn="l"/>
          <a:r>
            <a:rPr lang="pt-BR" sz="1100">
              <a:solidFill>
                <a:schemeClr val="tx1"/>
              </a:solidFill>
              <a:effectLst/>
              <a:latin typeface="+mn-lt"/>
              <a:ea typeface="+mn-ea"/>
              <a:cs typeface="+mn-cs"/>
            </a:rPr>
            <a:t>• </a:t>
          </a:r>
          <a:r>
            <a:rPr lang="pt-BR" sz="1200">
              <a:solidFill>
                <a:schemeClr val="tx1"/>
              </a:solidFill>
              <a:effectLst/>
              <a:latin typeface="+mn-lt"/>
              <a:ea typeface="+mn-ea"/>
              <a:cs typeface="+mn-cs"/>
            </a:rPr>
            <a:t>A coluna </a:t>
          </a:r>
          <a:r>
            <a:rPr lang="pt-BR" sz="1200" b="1">
              <a:solidFill>
                <a:schemeClr val="tx1"/>
              </a:solidFill>
              <a:effectLst/>
              <a:latin typeface="+mn-lt"/>
              <a:ea typeface="+mn-ea"/>
              <a:cs typeface="+mn-cs"/>
            </a:rPr>
            <a:t>'nome_jogador' </a:t>
          </a:r>
          <a:r>
            <a:rPr lang="pt-BR" sz="1200" b="0">
              <a:solidFill>
                <a:schemeClr val="tx1"/>
              </a:solidFill>
              <a:effectLst/>
              <a:latin typeface="+mn-lt"/>
              <a:ea typeface="+mn-ea"/>
              <a:cs typeface="+mn-cs"/>
            </a:rPr>
            <a:t>apresentou inconsistências como</a:t>
          </a:r>
          <a:r>
            <a:rPr lang="pt-BR" sz="1200" b="0" baseline="0">
              <a:solidFill>
                <a:schemeClr val="tx1"/>
              </a:solidFill>
              <a:effectLst/>
              <a:latin typeface="+mn-lt"/>
              <a:ea typeface="+mn-ea"/>
              <a:cs typeface="+mn-cs"/>
            </a:rPr>
            <a:t> falta de acentos e traços em nomes de determinados jogadores e elas foram resolvidas à mão. Analisando a variável, também conseguimos identificar a presença de um valor duplicado no caso do jogador Harry Kane e tratamos de excluí-lo com o auxílio da ferramenta Remover Duplicatas. Novamente, utilizamos a fórmula </a:t>
          </a:r>
          <a:r>
            <a:rPr lang="pt-BR" sz="1200" b="1" baseline="0">
              <a:solidFill>
                <a:schemeClr val="tx1"/>
              </a:solidFill>
              <a:effectLst/>
              <a:latin typeface="+mn-lt"/>
              <a:ea typeface="+mn-ea"/>
              <a:cs typeface="+mn-cs"/>
            </a:rPr>
            <a:t>=PRI.MAIÚSCULA() </a:t>
          </a:r>
          <a:r>
            <a:rPr lang="pt-BR" sz="1200" b="0" baseline="0">
              <a:solidFill>
                <a:schemeClr val="tx1"/>
              </a:solidFill>
              <a:effectLst/>
              <a:latin typeface="+mn-lt"/>
              <a:ea typeface="+mn-ea"/>
              <a:cs typeface="+mn-cs"/>
            </a:rPr>
            <a:t>para formatar corretamente o texto.</a:t>
          </a:r>
          <a:endParaRPr lang="pt-BR" sz="1200" b="0"/>
        </a:p>
        <a:p>
          <a:pPr algn="l"/>
          <a:endParaRPr lang="pt-BR" sz="1200"/>
        </a:p>
        <a:p>
          <a:pPr algn="l"/>
          <a:r>
            <a:rPr lang="pt-BR" sz="1100">
              <a:solidFill>
                <a:schemeClr val="tx1"/>
              </a:solidFill>
              <a:effectLst/>
              <a:latin typeface="+mn-lt"/>
              <a:ea typeface="+mn-ea"/>
              <a:cs typeface="+mn-cs"/>
            </a:rPr>
            <a:t>• </a:t>
          </a:r>
          <a:r>
            <a:rPr lang="pt-BR" sz="1200">
              <a:solidFill>
                <a:schemeClr val="tx1"/>
              </a:solidFill>
              <a:effectLst/>
              <a:latin typeface="+mn-lt"/>
              <a:ea typeface="+mn-ea"/>
              <a:cs typeface="+mn-cs"/>
            </a:rPr>
            <a:t>Na</a:t>
          </a:r>
          <a:r>
            <a:rPr lang="pt-BR" sz="1200" baseline="0">
              <a:solidFill>
                <a:schemeClr val="tx1"/>
              </a:solidFill>
              <a:effectLst/>
              <a:latin typeface="+mn-lt"/>
              <a:ea typeface="+mn-ea"/>
              <a:cs typeface="+mn-cs"/>
            </a:rPr>
            <a:t> coluna </a:t>
          </a:r>
          <a:r>
            <a:rPr lang="pt-BR" sz="1200" b="1" baseline="0">
              <a:solidFill>
                <a:schemeClr val="tx1"/>
              </a:solidFill>
              <a:effectLst/>
              <a:latin typeface="+mn-lt"/>
              <a:ea typeface="+mn-ea"/>
              <a:cs typeface="+mn-cs"/>
            </a:rPr>
            <a:t>'posição'</a:t>
          </a:r>
          <a:r>
            <a:rPr lang="pt-BR" sz="1200" b="0" baseline="0">
              <a:solidFill>
                <a:schemeClr val="tx1"/>
              </a:solidFill>
              <a:effectLst/>
              <a:latin typeface="+mn-lt"/>
              <a:ea typeface="+mn-ea"/>
              <a:cs typeface="+mn-cs"/>
            </a:rPr>
            <a:t>, foi identificada a presença de diversas posições distribuídas inconsistentemente. Em busca de padronizar os valores desta coluna, os mesmos foram modificados para que seguissem uma de três categorias: Defensor, Meio-campista ou Atacante. Desta forma, eles estarão em melhor estado quando as análises forem realizadas.</a:t>
          </a:r>
          <a:endParaRPr lang="pt-BR" sz="1200"/>
        </a:p>
        <a:p>
          <a:pPr algn="l"/>
          <a:endParaRPr lang="pt-BR" sz="1200"/>
        </a:p>
        <a:p>
          <a:pPr algn="l"/>
          <a:r>
            <a:rPr lang="pt-BR" sz="1200"/>
            <a:t>• Semelhantemente</a:t>
          </a:r>
          <a:r>
            <a:rPr lang="pt-BR" sz="1200" baseline="0"/>
            <a:t> às outras colunas, </a:t>
          </a:r>
          <a:r>
            <a:rPr lang="pt-BR" sz="1200" b="1" baseline="0"/>
            <a:t>'nacionalidade'</a:t>
          </a:r>
          <a:r>
            <a:rPr lang="pt-BR" sz="1200" b="0" baseline="0"/>
            <a:t> também apresentou registros inconsistentes quanto a formatação de letras maiúsculas, minúsculas e espaços desnecessários. Ambos os problemas foram resolvidos através da combinação das fórmulas </a:t>
          </a:r>
          <a:r>
            <a:rPr lang="pt-BR" sz="1200" b="1" baseline="0"/>
            <a:t>=ARRUMAR() </a:t>
          </a:r>
          <a:r>
            <a:rPr lang="pt-BR" sz="1200" b="0" baseline="0"/>
            <a:t>e </a:t>
          </a:r>
          <a:r>
            <a:rPr lang="pt-BR" sz="1200" b="1" baseline="0"/>
            <a:t>=PRI.MAIÚSCULA()</a:t>
          </a:r>
          <a:r>
            <a:rPr lang="pt-BR" sz="1200" b="0" baseline="0"/>
            <a:t>.</a:t>
          </a:r>
        </a:p>
        <a:p>
          <a:pPr algn="l"/>
          <a:endParaRPr lang="pt-BR" sz="1200"/>
        </a:p>
        <a:p>
          <a:pPr algn="l"/>
          <a:r>
            <a:rPr lang="pt-BR" sz="1100" b="0">
              <a:solidFill>
                <a:schemeClr val="tx1"/>
              </a:solidFill>
              <a:effectLst/>
              <a:latin typeface="+mn-lt"/>
              <a:ea typeface="+mn-ea"/>
              <a:cs typeface="+mn-cs"/>
            </a:rPr>
            <a:t>• </a:t>
          </a:r>
          <a:r>
            <a:rPr lang="pt-BR" sz="1200" b="0">
              <a:solidFill>
                <a:schemeClr val="tx1"/>
              </a:solidFill>
              <a:effectLst/>
              <a:latin typeface="+mn-lt"/>
              <a:ea typeface="+mn-ea"/>
              <a:cs typeface="+mn-cs"/>
            </a:rPr>
            <a:t>Em</a:t>
          </a:r>
          <a:r>
            <a:rPr lang="pt-BR" sz="1200" b="0" baseline="0">
              <a:solidFill>
                <a:schemeClr val="tx1"/>
              </a:solidFill>
              <a:effectLst/>
              <a:latin typeface="+mn-lt"/>
              <a:ea typeface="+mn-ea"/>
              <a:cs typeface="+mn-cs"/>
            </a:rPr>
            <a:t> </a:t>
          </a:r>
          <a:r>
            <a:rPr lang="pt-BR" sz="1200" b="1" baseline="0">
              <a:solidFill>
                <a:schemeClr val="tx1"/>
              </a:solidFill>
              <a:effectLst/>
              <a:latin typeface="+mn-lt"/>
              <a:ea typeface="+mn-ea"/>
              <a:cs typeface="+mn-cs"/>
            </a:rPr>
            <a:t>'clube'</a:t>
          </a:r>
          <a:r>
            <a:rPr lang="pt-BR" sz="1200" b="0" baseline="0">
              <a:solidFill>
                <a:schemeClr val="tx1"/>
              </a:solidFill>
              <a:effectLst/>
              <a:latin typeface="+mn-lt"/>
              <a:ea typeface="+mn-ea"/>
              <a:cs typeface="+mn-cs"/>
            </a:rPr>
            <a:t>, apenas pequenas correções relacionadas aos nomes dos clubes foram realizadas.</a:t>
          </a:r>
          <a:endParaRPr lang="pt-BR" sz="1200"/>
        </a:p>
        <a:p>
          <a:pPr algn="l"/>
          <a:endParaRPr lang="pt-BR" sz="1200"/>
        </a:p>
        <a:p>
          <a:pPr algn="l"/>
          <a:r>
            <a:rPr lang="pt-BR" sz="1100" b="0">
              <a:solidFill>
                <a:schemeClr val="tx1"/>
              </a:solidFill>
              <a:effectLst/>
              <a:latin typeface="+mn-lt"/>
              <a:ea typeface="+mn-ea"/>
              <a:cs typeface="+mn-cs"/>
            </a:rPr>
            <a:t>• </a:t>
          </a:r>
          <a:r>
            <a:rPr lang="pt-BR" sz="1200" b="0">
              <a:solidFill>
                <a:schemeClr val="tx1"/>
              </a:solidFill>
              <a:effectLst/>
              <a:latin typeface="+mn-lt"/>
              <a:ea typeface="+mn-ea"/>
              <a:cs typeface="+mn-cs"/>
            </a:rPr>
            <a:t>Na</a:t>
          </a:r>
          <a:r>
            <a:rPr lang="pt-BR" sz="1200" b="0" baseline="0">
              <a:solidFill>
                <a:schemeClr val="tx1"/>
              </a:solidFill>
              <a:effectLst/>
              <a:latin typeface="+mn-lt"/>
              <a:ea typeface="+mn-ea"/>
              <a:cs typeface="+mn-cs"/>
            </a:rPr>
            <a:t> coluna </a:t>
          </a:r>
          <a:r>
            <a:rPr lang="pt-BR" sz="1200" b="1" baseline="0">
              <a:solidFill>
                <a:schemeClr val="tx1"/>
              </a:solidFill>
              <a:effectLst/>
              <a:latin typeface="+mn-lt"/>
              <a:ea typeface="+mn-ea"/>
              <a:cs typeface="+mn-cs"/>
            </a:rPr>
            <a:t>'valor_transferencia'</a:t>
          </a:r>
          <a:r>
            <a:rPr lang="pt-BR" sz="1200" b="0" baseline="0">
              <a:solidFill>
                <a:schemeClr val="tx1"/>
              </a:solidFill>
              <a:effectLst/>
              <a:latin typeface="+mn-lt"/>
              <a:ea typeface="+mn-ea"/>
              <a:cs typeface="+mn-cs"/>
            </a:rPr>
            <a:t>, foi possível identificar diversas inconsistências. Primeiramente, os dados estavam disponibilizados em formatos monetários diferentes (por exemplo, 35M e 45.000.000 na mesma coluna), o que nos levou a modificar cada um dos registros manualmente. Esta decisão foi tomada considerando, principalmente, o tamanho da base de dados. Caso a mesma fosse maior, seria necessária outra abordagem. Em seguida, formatamos os valores como Número e para Moeda. Alguns jogadores estão com instâncias onde o 0 está presente, o que indica que sua entrada/saída não custou dinheiro ao clube.</a:t>
          </a:r>
          <a:endParaRPr lang="pt-BR" sz="1200"/>
        </a:p>
        <a:p>
          <a:pPr algn="l"/>
          <a:endParaRPr lang="pt-BR" sz="1200"/>
        </a:p>
        <a:p>
          <a:pPr algn="l"/>
          <a:r>
            <a:rPr lang="pt-BR" sz="1200" b="0"/>
            <a:t>•</a:t>
          </a:r>
          <a:r>
            <a:rPr lang="pt-BR" sz="1200" b="1"/>
            <a:t> </a:t>
          </a:r>
          <a:r>
            <a:rPr lang="pt-BR" sz="1200" b="0"/>
            <a:t>Em</a:t>
          </a:r>
          <a:r>
            <a:rPr lang="pt-BR" sz="1200" b="0" baseline="0"/>
            <a:t> relação à coluna </a:t>
          </a:r>
          <a:r>
            <a:rPr lang="pt-BR" sz="1200" b="1" baseline="0"/>
            <a:t>'idade'</a:t>
          </a:r>
          <a:r>
            <a:rPr lang="pt-BR" sz="1200" b="0" baseline="0"/>
            <a:t>, foi necessário formatá-la inteiramente como Número para que seus valores assumissem o tipo correto.</a:t>
          </a:r>
        </a:p>
        <a:p>
          <a:pPr algn="l"/>
          <a:endParaRPr lang="pt-BR" sz="1200" b="0" baseline="0"/>
        </a:p>
        <a:p>
          <a:pPr algn="l"/>
          <a:r>
            <a:rPr lang="pt-BR" sz="1200" b="0"/>
            <a:t>•</a:t>
          </a:r>
          <a:r>
            <a:rPr lang="pt-BR" sz="1200" b="1"/>
            <a:t> </a:t>
          </a:r>
          <a:r>
            <a:rPr lang="pt-BR" sz="1200" b="0"/>
            <a:t>Na</a:t>
          </a:r>
          <a:r>
            <a:rPr lang="pt-BR" sz="1200" b="0" baseline="0"/>
            <a:t> coluna </a:t>
          </a:r>
          <a:r>
            <a:rPr lang="pt-BR" sz="1200" b="1" baseline="0"/>
            <a:t>'tipo_negociacao'</a:t>
          </a:r>
          <a:r>
            <a:rPr lang="pt-BR" sz="1200" b="0" baseline="0"/>
            <a:t>, foram utilizadas as fórmulas </a:t>
          </a:r>
          <a:r>
            <a:rPr lang="pt-BR" sz="1200" b="1" baseline="0"/>
            <a:t>=ARRUMAR()</a:t>
          </a:r>
          <a:r>
            <a:rPr lang="pt-BR" sz="1200" b="0" baseline="0"/>
            <a:t> e </a:t>
          </a:r>
          <a:r>
            <a:rPr lang="pt-BR" sz="1200" b="1" baseline="0"/>
            <a:t>=PRI.MAIÚSCULA() </a:t>
          </a:r>
          <a:r>
            <a:rPr lang="pt-BR" sz="1200" b="0" baseline="0"/>
            <a:t>para formatarmos os valores.</a:t>
          </a:r>
          <a:endParaRPr lang="pt-BR" sz="1200" b="0"/>
        </a:p>
      </xdr:txBody>
    </xdr:sp>
    <xdr:clientData/>
  </xdr:one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Kaike Mendes" refreshedDate="46181.843427199077" createdVersion="8" refreshedVersion="8" minRefreshableVersion="3" recordCount="22" xr:uid="{11AE0983-117D-40C8-AD52-16F3B61A0005}">
  <cacheSource type="worksheet">
    <worksheetSource ref="A2:I24" sheet="Dados Tratados"/>
  </cacheSource>
  <cacheFields count="9">
    <cacheField name="temporada" numFmtId="0">
      <sharedItems count="6">
        <s v="2019/20"/>
        <s v="2020/21"/>
        <s v="2021/22"/>
        <s v="2022/23"/>
        <s v="2023/24"/>
        <s v="2024/25"/>
      </sharedItems>
    </cacheField>
    <cacheField name="tipo_movimentação" numFmtId="0">
      <sharedItems count="2">
        <s v="Entrada"/>
        <s v="Saída"/>
      </sharedItems>
    </cacheField>
    <cacheField name="nome_jogador" numFmtId="0">
      <sharedItems/>
    </cacheField>
    <cacheField name="posição" numFmtId="0">
      <sharedItems count="3">
        <s v="Meio-campista"/>
        <s v="Atacante"/>
        <s v="Defensor"/>
      </sharedItems>
    </cacheField>
    <cacheField name="nacionalidade" numFmtId="0">
      <sharedItems/>
    </cacheField>
    <cacheField name="clube" numFmtId="0">
      <sharedItems/>
    </cacheField>
    <cacheField name="valor_transferência" numFmtId="164">
      <sharedItems containsSemiMixedTypes="0" containsString="0" containsNumber="1" containsInteger="1" minValue="0" maxValue="95000000"/>
    </cacheField>
    <cacheField name="idade" numFmtId="1">
      <sharedItems containsSemiMixedTypes="0" containsString="0" containsNumber="1" containsInteger="1" minValue="18" maxValue="33"/>
    </cacheField>
    <cacheField name="tipo_negociação"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
  <r>
    <x v="0"/>
    <x v="0"/>
    <s v="Tanguy Ndombélé"/>
    <x v="0"/>
    <s v="França"/>
    <s v="Lyon"/>
    <n v="62000000"/>
    <n v="22"/>
    <s v="Compra"/>
  </r>
  <r>
    <x v="0"/>
    <x v="0"/>
    <s v="Steven Bergwijn"/>
    <x v="1"/>
    <s v="Holanda"/>
    <s v="PSV Eindhoven"/>
    <n v="30000000"/>
    <n v="22"/>
    <s v="Compra"/>
  </r>
  <r>
    <x v="0"/>
    <x v="1"/>
    <s v="Christian Eriksen"/>
    <x v="0"/>
    <s v="Dinamarca"/>
    <s v="Inter Milan"/>
    <n v="27000000"/>
    <n v="27"/>
    <s v="Venda"/>
  </r>
  <r>
    <x v="1"/>
    <x v="0"/>
    <s v="Pierre-Emile Højbjerg"/>
    <x v="0"/>
    <s v="Dinamarca"/>
    <s v="Southampton"/>
    <n v="16600000"/>
    <n v="25"/>
    <s v="Compra"/>
  </r>
  <r>
    <x v="1"/>
    <x v="0"/>
    <s v="Sergio Reguilón"/>
    <x v="2"/>
    <s v="Espanha"/>
    <s v="Real Madrid"/>
    <n v="30000000"/>
    <n v="23"/>
    <s v="Compra"/>
  </r>
  <r>
    <x v="1"/>
    <x v="1"/>
    <s v="Jan Vertonghen"/>
    <x v="2"/>
    <s v="Bélgica"/>
    <s v="Benfica"/>
    <n v="0"/>
    <n v="33"/>
    <s v="Livre"/>
  </r>
  <r>
    <x v="1"/>
    <x v="0"/>
    <s v="Matt Doherty"/>
    <x v="2"/>
    <s v="Irlanda"/>
    <s v="Wolves"/>
    <n v="16800000"/>
    <n v="28"/>
    <s v="Compra"/>
  </r>
  <r>
    <x v="2"/>
    <x v="0"/>
    <s v="Cristian Romero"/>
    <x v="2"/>
    <s v="Argentina"/>
    <s v="Atalanta"/>
    <n v="52000000"/>
    <n v="23"/>
    <s v="Compra"/>
  </r>
  <r>
    <x v="2"/>
    <x v="0"/>
    <s v="Dejan Kulusevski"/>
    <x v="1"/>
    <s v="Suécia"/>
    <s v="Juventus"/>
    <n v="0"/>
    <n v="21"/>
    <s v="Empréstimo"/>
  </r>
  <r>
    <x v="2"/>
    <x v="1"/>
    <s v="Toby Alderweireld"/>
    <x v="2"/>
    <s v="Bélgica"/>
    <s v="Al Duhail"/>
    <n v="13000000"/>
    <n v="32"/>
    <s v="Venda"/>
  </r>
  <r>
    <x v="2"/>
    <x v="0"/>
    <s v="Rodrigo Bentancur"/>
    <x v="0"/>
    <s v="Uruguai"/>
    <s v="Juventus"/>
    <n v="19000000"/>
    <n v="24"/>
    <s v="Compra"/>
  </r>
  <r>
    <x v="3"/>
    <x v="0"/>
    <s v="Richarlison"/>
    <x v="1"/>
    <s v="Brasil"/>
    <s v="Everton"/>
    <n v="58000000"/>
    <n v="25"/>
    <s v="Compra"/>
  </r>
  <r>
    <x v="3"/>
    <x v="0"/>
    <s v="Yves Bissouma"/>
    <x v="0"/>
    <s v="Mali"/>
    <s v="Brighton"/>
    <n v="29000000"/>
    <n v="25"/>
    <s v="Compra"/>
  </r>
  <r>
    <x v="3"/>
    <x v="1"/>
    <s v="Steven Bergwijn"/>
    <x v="1"/>
    <s v="Holanda"/>
    <s v="Ajax"/>
    <n v="31300000"/>
    <n v="24"/>
    <s v="Venda"/>
  </r>
  <r>
    <x v="3"/>
    <x v="0"/>
    <s v="Ivan Perišić"/>
    <x v="1"/>
    <s v="Croácia"/>
    <s v="Inter Milan"/>
    <n v="0"/>
    <n v="33"/>
    <s v="Livre"/>
  </r>
  <r>
    <x v="4"/>
    <x v="0"/>
    <s v="James Maddison"/>
    <x v="0"/>
    <s v="Inglaterra"/>
    <s v="Leicester City"/>
    <n v="46300000"/>
    <n v="26"/>
    <s v="Compra"/>
  </r>
  <r>
    <x v="4"/>
    <x v="0"/>
    <s v="Micky van de Ven"/>
    <x v="2"/>
    <s v="Holanda"/>
    <s v="Wolfsburg"/>
    <n v="40000000"/>
    <n v="22"/>
    <s v="Compra"/>
  </r>
  <r>
    <x v="4"/>
    <x v="1"/>
    <s v="Harry Kane"/>
    <x v="1"/>
    <s v="Inglaterra"/>
    <s v="Bayern München"/>
    <n v="95000000"/>
    <n v="30"/>
    <s v="Venda"/>
  </r>
  <r>
    <x v="4"/>
    <x v="0"/>
    <s v="Brennan Johnson"/>
    <x v="1"/>
    <s v="País De Gales"/>
    <s v="Nottingham Forest"/>
    <n v="47500000"/>
    <n v="22"/>
    <s v="Compra"/>
  </r>
  <r>
    <x v="5"/>
    <x v="0"/>
    <s v="Dominic Solanke"/>
    <x v="1"/>
    <s v="Inglaterra"/>
    <s v="Bournemouth"/>
    <n v="65000000"/>
    <n v="26"/>
    <s v="Compra"/>
  </r>
  <r>
    <x v="5"/>
    <x v="0"/>
    <s v="Archie Gray"/>
    <x v="0"/>
    <s v="Inglaterra"/>
    <s v="Leeds United"/>
    <n v="41000000"/>
    <n v="18"/>
    <s v="Compra"/>
  </r>
  <r>
    <x v="5"/>
    <x v="1"/>
    <s v="Pierre-Emile Højbjerg"/>
    <x v="0"/>
    <s v="Dinamarca"/>
    <s v="Olympique Marseille"/>
    <n v="13500000"/>
    <n v="29"/>
    <s v="Venda"/>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0C1B1E3-0FD2-4659-8C22-185FC5338B5D}" name="Tabela dinâmica2" cacheId="0" applyNumberFormats="0" applyBorderFormats="0" applyFontFormats="0" applyPatternFormats="0" applyAlignmentFormats="0" applyWidthHeightFormats="1" dataCaption="Valores" updatedVersion="8" minRefreshableVersion="3" useAutoFormatting="1" colGrandTotals="0" itemPrintTitles="1" createdVersion="8" indent="0" outline="1" outlineData="1" multipleFieldFilters="0" chartFormat="3" rowHeaderCaption="Posições" colHeaderCaption="Tipo de Movimentação">
  <location ref="O14:P19" firstHeaderRow="1" firstDataRow="2" firstDataCol="1"/>
  <pivotFields count="9">
    <pivotField showAll="0"/>
    <pivotField axis="axisCol" showAll="0">
      <items count="3">
        <item h="1" x="1"/>
        <item x="0"/>
        <item t="default"/>
      </items>
    </pivotField>
    <pivotField showAll="0"/>
    <pivotField axis="axisRow" showAll="0" sortType="descending">
      <items count="4">
        <item x="1"/>
        <item x="2"/>
        <item x="0"/>
        <item t="default"/>
      </items>
      <autoSortScope>
        <pivotArea dataOnly="0" outline="0" fieldPosition="0">
          <references count="2">
            <reference field="4294967294" count="1" selected="0">
              <x v="0"/>
            </reference>
            <reference field="1" count="1" selected="0">
              <x v="1"/>
            </reference>
          </references>
        </pivotArea>
      </autoSortScope>
    </pivotField>
    <pivotField showAll="0"/>
    <pivotField showAll="0"/>
    <pivotField dataField="1" numFmtId="164" showAll="0"/>
    <pivotField numFmtId="1" showAll="0"/>
    <pivotField showAll="0"/>
  </pivotFields>
  <rowFields count="1">
    <field x="3"/>
  </rowFields>
  <rowItems count="4">
    <i>
      <x v="2"/>
    </i>
    <i>
      <x/>
    </i>
    <i>
      <x v="1"/>
    </i>
    <i t="grand">
      <x/>
    </i>
  </rowItems>
  <colFields count="1">
    <field x="1"/>
  </colFields>
  <colItems count="1">
    <i>
      <x v="1"/>
    </i>
  </colItems>
  <dataFields count="1">
    <dataField name="Soma do Valor das Transferências" fld="6" baseField="0" baseItem="0" numFmtId="164"/>
  </dataFields>
  <formats count="9">
    <format dxfId="8">
      <pivotArea type="all" dataOnly="0" outline="0" fieldPosition="0"/>
    </format>
    <format dxfId="7">
      <pivotArea outline="0" collapsedLevelsAreSubtotals="1" fieldPosition="0"/>
    </format>
    <format dxfId="6">
      <pivotArea type="origin" dataOnly="0" labelOnly="1" outline="0" fieldPosition="0"/>
    </format>
    <format dxfId="5">
      <pivotArea field="1" type="button" dataOnly="0" labelOnly="1" outline="0" axis="axisCol" fieldPosition="0"/>
    </format>
    <format dxfId="4">
      <pivotArea type="topRight" dataOnly="0" labelOnly="1" outline="0" fieldPosition="0"/>
    </format>
    <format dxfId="3">
      <pivotArea field="3" type="button" dataOnly="0" labelOnly="1" outline="0" axis="axisRow" fieldPosition="0"/>
    </format>
    <format dxfId="2">
      <pivotArea dataOnly="0" labelOnly="1" fieldPosition="0">
        <references count="1">
          <reference field="3" count="0"/>
        </references>
      </pivotArea>
    </format>
    <format dxfId="1">
      <pivotArea dataOnly="0" labelOnly="1" fieldPosition="0">
        <references count="1">
          <reference field="1" count="0"/>
        </references>
      </pivotArea>
    </format>
    <format dxfId="0">
      <pivotArea dataOnly="0" labelOnly="1" grandRow="1" outline="0" fieldPosition="0"/>
    </format>
  </formats>
  <chartFormats count="1">
    <chartFormat chart="1"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0F863BA-AE4A-4439-B2F0-5F549C05D0FD}" name="Tabela dinâmica1"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3" rowHeaderCaption="Temporadas" colHeaderCaption="">
  <location ref="A14:D22" firstHeaderRow="1" firstDataRow="2" firstDataCol="1"/>
  <pivotFields count="9">
    <pivotField axis="axisRow" showAll="0">
      <items count="7">
        <item x="0"/>
        <item x="1"/>
        <item x="2"/>
        <item x="3"/>
        <item x="4"/>
        <item x="5"/>
        <item t="default"/>
      </items>
    </pivotField>
    <pivotField axis="axisCol" showAll="0">
      <items count="3">
        <item x="0"/>
        <item x="1"/>
        <item t="default"/>
      </items>
    </pivotField>
    <pivotField showAll="0"/>
    <pivotField showAll="0"/>
    <pivotField showAll="0"/>
    <pivotField showAll="0"/>
    <pivotField dataField="1" numFmtId="164" showAll="0"/>
    <pivotField numFmtId="1" showAll="0"/>
    <pivotField showAll="0"/>
  </pivotFields>
  <rowFields count="1">
    <field x="0"/>
  </rowFields>
  <rowItems count="7">
    <i>
      <x/>
    </i>
    <i>
      <x v="1"/>
    </i>
    <i>
      <x v="2"/>
    </i>
    <i>
      <x v="3"/>
    </i>
    <i>
      <x v="4"/>
    </i>
    <i>
      <x v="5"/>
    </i>
    <i t="grand">
      <x/>
    </i>
  </rowItems>
  <colFields count="1">
    <field x="1"/>
  </colFields>
  <colItems count="3">
    <i>
      <x/>
    </i>
    <i>
      <x v="1"/>
    </i>
    <i t="grand">
      <x/>
    </i>
  </colItems>
  <dataFields count="1">
    <dataField name="Somas de Entradas e Saídas" fld="6" baseField="0" baseItem="0" numFmtId="164"/>
  </dataFields>
  <formats count="6">
    <format dxfId="14">
      <pivotArea collapsedLevelsAreSubtotals="1" fieldPosition="0">
        <references count="1">
          <reference field="0" count="0"/>
        </references>
      </pivotArea>
    </format>
    <format dxfId="13">
      <pivotArea field="0" type="button" dataOnly="0" labelOnly="1" outline="0" axis="axisRow" fieldPosition="0"/>
    </format>
    <format dxfId="12">
      <pivotArea dataOnly="0" labelOnly="1" fieldPosition="0">
        <references count="1">
          <reference field="0" count="0"/>
        </references>
      </pivotArea>
    </format>
    <format dxfId="11">
      <pivotArea dataOnly="0" labelOnly="1" fieldPosition="0">
        <references count="1">
          <reference field="1" count="0"/>
        </references>
      </pivotArea>
    </format>
    <format dxfId="10">
      <pivotArea dataOnly="0" labelOnly="1" grandCol="1" outline="0" fieldPosition="0"/>
    </format>
    <format dxfId="9">
      <pivotArea grandRow="1" outline="0" collapsedLevelsAreSubtotals="1" fieldPosition="0"/>
    </format>
  </formats>
  <chartFormats count="2">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9646EF-D473-4C83-8D4E-81DAA494C7E8}">
  <sheetPr>
    <tabColor theme="6" tint="0.79998168889431442"/>
  </sheetPr>
  <dimension ref="A1"/>
  <sheetViews>
    <sheetView showGridLines="0" topLeftCell="A44" zoomScaleNormal="100" workbookViewId="0">
      <selection activeCell="G47" sqref="G47"/>
    </sheetView>
  </sheetViews>
  <sheetFormatPr defaultRowHeight="15" x14ac:dyDescent="0.25"/>
  <sheetData/>
  <pageMargins left="0.511811024" right="0.511811024" top="0.78740157499999996" bottom="0.78740157499999996" header="0.31496062000000002" footer="0.31496062000000002"/>
  <pageSetup paperSize="9" orientation="portrait" horizontalDpi="300" verticalDpi="300"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6" tint="0.59999389629810485"/>
  </sheetPr>
  <dimension ref="A1:I25"/>
  <sheetViews>
    <sheetView workbookViewId="0">
      <selection activeCell="N9" sqref="N9"/>
    </sheetView>
  </sheetViews>
  <sheetFormatPr defaultRowHeight="15" x14ac:dyDescent="0.25"/>
  <sheetData>
    <row r="1" spans="1:9" x14ac:dyDescent="0.25">
      <c r="A1" s="1" t="s">
        <v>0</v>
      </c>
      <c r="B1" s="1" t="s">
        <v>1</v>
      </c>
      <c r="C1" s="1" t="s">
        <v>2</v>
      </c>
      <c r="D1" s="1" t="s">
        <v>3</v>
      </c>
      <c r="E1" s="1" t="s">
        <v>4</v>
      </c>
      <c r="F1" s="1" t="s">
        <v>5</v>
      </c>
      <c r="G1" s="1" t="s">
        <v>6</v>
      </c>
      <c r="H1" s="1" t="s">
        <v>7</v>
      </c>
      <c r="I1" s="1" t="s">
        <v>8</v>
      </c>
    </row>
    <row r="2" spans="1:9" x14ac:dyDescent="0.25">
      <c r="A2" t="s">
        <v>9</v>
      </c>
      <c r="B2" t="s">
        <v>10</v>
      </c>
      <c r="C2" t="s">
        <v>11</v>
      </c>
      <c r="D2" t="s">
        <v>12</v>
      </c>
      <c r="E2" t="s">
        <v>13</v>
      </c>
      <c r="F2" t="s">
        <v>14</v>
      </c>
      <c r="G2" t="s">
        <v>15</v>
      </c>
      <c r="H2">
        <v>22</v>
      </c>
      <c r="I2" t="s">
        <v>16</v>
      </c>
    </row>
    <row r="3" spans="1:9" x14ac:dyDescent="0.25">
      <c r="A3" t="s">
        <v>17</v>
      </c>
      <c r="B3" t="s">
        <v>18</v>
      </c>
      <c r="C3" t="s">
        <v>19</v>
      </c>
      <c r="D3" t="s">
        <v>20</v>
      </c>
      <c r="E3" t="s">
        <v>21</v>
      </c>
      <c r="F3" t="s">
        <v>22</v>
      </c>
      <c r="G3" t="s">
        <v>23</v>
      </c>
      <c r="H3" t="s">
        <v>24</v>
      </c>
      <c r="I3" t="s">
        <v>25</v>
      </c>
    </row>
    <row r="4" spans="1:9" x14ac:dyDescent="0.25">
      <c r="A4" t="s">
        <v>26</v>
      </c>
      <c r="B4" t="s">
        <v>27</v>
      </c>
      <c r="C4" t="s">
        <v>28</v>
      </c>
      <c r="D4" t="s">
        <v>29</v>
      </c>
      <c r="E4" t="s">
        <v>30</v>
      </c>
      <c r="F4" t="s">
        <v>31</v>
      </c>
      <c r="G4" t="s">
        <v>32</v>
      </c>
      <c r="H4">
        <v>27</v>
      </c>
      <c r="I4" t="s">
        <v>33</v>
      </c>
    </row>
    <row r="5" spans="1:9" x14ac:dyDescent="0.25">
      <c r="A5" t="s">
        <v>34</v>
      </c>
      <c r="B5" t="s">
        <v>18</v>
      </c>
      <c r="C5" t="s">
        <v>35</v>
      </c>
      <c r="D5" t="s">
        <v>36</v>
      </c>
      <c r="E5" t="s">
        <v>37</v>
      </c>
      <c r="F5" t="s">
        <v>38</v>
      </c>
      <c r="G5" t="s">
        <v>39</v>
      </c>
      <c r="H5">
        <v>25</v>
      </c>
      <c r="I5" t="s">
        <v>40</v>
      </c>
    </row>
    <row r="6" spans="1:9" x14ac:dyDescent="0.25">
      <c r="A6" t="s">
        <v>41</v>
      </c>
      <c r="B6" t="s">
        <v>10</v>
      </c>
      <c r="C6" t="s">
        <v>42</v>
      </c>
      <c r="D6" t="s">
        <v>43</v>
      </c>
      <c r="E6" t="s">
        <v>44</v>
      </c>
      <c r="F6" t="s">
        <v>45</v>
      </c>
      <c r="G6" t="s">
        <v>46</v>
      </c>
      <c r="H6" t="s">
        <v>47</v>
      </c>
      <c r="I6" t="s">
        <v>16</v>
      </c>
    </row>
    <row r="7" spans="1:9" x14ac:dyDescent="0.25">
      <c r="A7" t="s">
        <v>34</v>
      </c>
      <c r="B7" t="s">
        <v>48</v>
      </c>
      <c r="C7" t="s">
        <v>49</v>
      </c>
      <c r="D7" t="s">
        <v>50</v>
      </c>
      <c r="E7" t="s">
        <v>51</v>
      </c>
      <c r="F7" t="s">
        <v>52</v>
      </c>
      <c r="G7" t="s">
        <v>53</v>
      </c>
      <c r="H7">
        <v>33</v>
      </c>
      <c r="I7" t="s">
        <v>54</v>
      </c>
    </row>
    <row r="8" spans="1:9" x14ac:dyDescent="0.25">
      <c r="A8" t="s">
        <v>55</v>
      </c>
      <c r="B8" t="s">
        <v>18</v>
      </c>
      <c r="C8" t="s">
        <v>56</v>
      </c>
      <c r="D8" t="s">
        <v>57</v>
      </c>
      <c r="E8" t="s">
        <v>58</v>
      </c>
      <c r="F8" t="s">
        <v>59</v>
      </c>
      <c r="G8" t="s">
        <v>60</v>
      </c>
      <c r="H8">
        <v>23</v>
      </c>
      <c r="I8" t="s">
        <v>16</v>
      </c>
    </row>
    <row r="9" spans="1:9" x14ac:dyDescent="0.25">
      <c r="A9" t="s">
        <v>61</v>
      </c>
      <c r="B9" t="s">
        <v>10</v>
      </c>
      <c r="C9" t="s">
        <v>62</v>
      </c>
      <c r="D9" t="s">
        <v>63</v>
      </c>
      <c r="E9" t="s">
        <v>64</v>
      </c>
      <c r="F9" t="s">
        <v>65</v>
      </c>
      <c r="G9" t="s">
        <v>66</v>
      </c>
      <c r="H9">
        <v>21</v>
      </c>
      <c r="I9" t="s">
        <v>67</v>
      </c>
    </row>
    <row r="10" spans="1:9" x14ac:dyDescent="0.25">
      <c r="A10" t="s">
        <v>55</v>
      </c>
      <c r="B10" t="s">
        <v>68</v>
      </c>
      <c r="C10" t="s">
        <v>69</v>
      </c>
      <c r="D10" t="s">
        <v>70</v>
      </c>
      <c r="E10" t="s">
        <v>71</v>
      </c>
      <c r="F10" t="s">
        <v>72</v>
      </c>
      <c r="G10" t="s">
        <v>73</v>
      </c>
      <c r="H10">
        <v>32</v>
      </c>
      <c r="I10" t="s">
        <v>74</v>
      </c>
    </row>
    <row r="11" spans="1:9" x14ac:dyDescent="0.25">
      <c r="A11" t="s">
        <v>75</v>
      </c>
      <c r="B11" t="s">
        <v>18</v>
      </c>
      <c r="C11" t="s">
        <v>76</v>
      </c>
      <c r="D11" t="s">
        <v>77</v>
      </c>
      <c r="E11" t="s">
        <v>78</v>
      </c>
      <c r="F11" t="s">
        <v>79</v>
      </c>
      <c r="G11" t="s">
        <v>80</v>
      </c>
      <c r="H11">
        <v>25</v>
      </c>
      <c r="I11" t="s">
        <v>16</v>
      </c>
    </row>
    <row r="12" spans="1:9" x14ac:dyDescent="0.25">
      <c r="A12" t="s">
        <v>81</v>
      </c>
      <c r="B12" t="s">
        <v>18</v>
      </c>
      <c r="C12" t="s">
        <v>82</v>
      </c>
      <c r="D12" t="s">
        <v>83</v>
      </c>
      <c r="E12" t="s">
        <v>84</v>
      </c>
      <c r="F12" t="s">
        <v>85</v>
      </c>
      <c r="G12" t="s">
        <v>86</v>
      </c>
      <c r="H12" t="s">
        <v>87</v>
      </c>
      <c r="I12" t="s">
        <v>16</v>
      </c>
    </row>
    <row r="13" spans="1:9" x14ac:dyDescent="0.25">
      <c r="A13" t="s">
        <v>75</v>
      </c>
      <c r="B13" t="s">
        <v>27</v>
      </c>
      <c r="C13" t="s">
        <v>88</v>
      </c>
      <c r="D13" t="s">
        <v>89</v>
      </c>
      <c r="E13" t="s">
        <v>90</v>
      </c>
      <c r="F13" t="s">
        <v>91</v>
      </c>
      <c r="G13" t="s">
        <v>92</v>
      </c>
      <c r="H13">
        <v>24</v>
      </c>
      <c r="I13" t="s">
        <v>33</v>
      </c>
    </row>
    <row r="14" spans="1:9" x14ac:dyDescent="0.25">
      <c r="A14" t="s">
        <v>93</v>
      </c>
      <c r="B14" t="s">
        <v>94</v>
      </c>
      <c r="C14" t="s">
        <v>95</v>
      </c>
      <c r="D14" t="s">
        <v>96</v>
      </c>
      <c r="E14" t="s">
        <v>97</v>
      </c>
      <c r="F14" t="s">
        <v>98</v>
      </c>
      <c r="G14" t="s">
        <v>99</v>
      </c>
      <c r="H14">
        <v>26</v>
      </c>
      <c r="I14" t="s">
        <v>25</v>
      </c>
    </row>
    <row r="15" spans="1:9" x14ac:dyDescent="0.25">
      <c r="A15" t="s">
        <v>93</v>
      </c>
      <c r="B15" t="s">
        <v>18</v>
      </c>
      <c r="C15" t="s">
        <v>100</v>
      </c>
      <c r="D15" t="s">
        <v>101</v>
      </c>
      <c r="E15" t="s">
        <v>90</v>
      </c>
      <c r="F15" t="s">
        <v>102</v>
      </c>
      <c r="G15" t="s">
        <v>103</v>
      </c>
      <c r="H15">
        <v>22</v>
      </c>
      <c r="I15" t="s">
        <v>16</v>
      </c>
    </row>
    <row r="16" spans="1:9" x14ac:dyDescent="0.25">
      <c r="A16" t="s">
        <v>93</v>
      </c>
      <c r="B16" t="s">
        <v>48</v>
      </c>
      <c r="C16" t="s">
        <v>104</v>
      </c>
      <c r="D16" t="s">
        <v>105</v>
      </c>
      <c r="E16" t="s">
        <v>106</v>
      </c>
      <c r="F16" t="s">
        <v>107</v>
      </c>
      <c r="G16" t="s">
        <v>108</v>
      </c>
      <c r="H16">
        <v>30</v>
      </c>
      <c r="I16" t="s">
        <v>74</v>
      </c>
    </row>
    <row r="17" spans="1:9" x14ac:dyDescent="0.25">
      <c r="A17" t="s">
        <v>109</v>
      </c>
      <c r="B17" t="s">
        <v>10</v>
      </c>
      <c r="C17" t="s">
        <v>110</v>
      </c>
      <c r="D17" t="s">
        <v>111</v>
      </c>
      <c r="E17" t="s">
        <v>97</v>
      </c>
      <c r="F17" t="s">
        <v>112</v>
      </c>
      <c r="G17" t="s">
        <v>113</v>
      </c>
      <c r="H17">
        <v>26</v>
      </c>
      <c r="I17" t="s">
        <v>16</v>
      </c>
    </row>
    <row r="18" spans="1:9" x14ac:dyDescent="0.25">
      <c r="A18" t="s">
        <v>109</v>
      </c>
      <c r="B18" t="s">
        <v>18</v>
      </c>
      <c r="C18" t="s">
        <v>114</v>
      </c>
      <c r="D18" t="s">
        <v>115</v>
      </c>
      <c r="E18" t="s">
        <v>116</v>
      </c>
      <c r="F18" t="s">
        <v>117</v>
      </c>
      <c r="G18" t="s">
        <v>118</v>
      </c>
      <c r="H18" t="s">
        <v>119</v>
      </c>
      <c r="I18" t="s">
        <v>16</v>
      </c>
    </row>
    <row r="19" spans="1:9" x14ac:dyDescent="0.25">
      <c r="A19" t="s">
        <v>109</v>
      </c>
      <c r="B19" t="s">
        <v>48</v>
      </c>
      <c r="C19" t="s">
        <v>120</v>
      </c>
      <c r="D19" t="s">
        <v>36</v>
      </c>
      <c r="E19" t="s">
        <v>30</v>
      </c>
      <c r="F19" t="s">
        <v>121</v>
      </c>
      <c r="G19" t="s">
        <v>122</v>
      </c>
      <c r="H19">
        <v>29</v>
      </c>
      <c r="I19" t="s">
        <v>33</v>
      </c>
    </row>
    <row r="20" spans="1:9" x14ac:dyDescent="0.25">
      <c r="A20" t="s">
        <v>93</v>
      </c>
      <c r="B20" t="s">
        <v>48</v>
      </c>
      <c r="C20" t="s">
        <v>104</v>
      </c>
      <c r="D20" t="s">
        <v>105</v>
      </c>
      <c r="E20" t="s">
        <v>106</v>
      </c>
      <c r="F20" t="s">
        <v>107</v>
      </c>
      <c r="G20" t="s">
        <v>108</v>
      </c>
      <c r="H20">
        <v>30</v>
      </c>
      <c r="I20" t="s">
        <v>74</v>
      </c>
    </row>
    <row r="21" spans="1:9" x14ac:dyDescent="0.25">
      <c r="A21" t="s">
        <v>75</v>
      </c>
      <c r="C21" t="s">
        <v>123</v>
      </c>
      <c r="E21" t="s">
        <v>124</v>
      </c>
      <c r="F21" t="s">
        <v>125</v>
      </c>
      <c r="H21">
        <v>33</v>
      </c>
      <c r="I21" t="s">
        <v>53</v>
      </c>
    </row>
    <row r="22" spans="1:9" x14ac:dyDescent="0.25">
      <c r="A22" t="s">
        <v>55</v>
      </c>
      <c r="B22" t="s">
        <v>126</v>
      </c>
      <c r="C22" t="s">
        <v>127</v>
      </c>
      <c r="D22" t="s">
        <v>128</v>
      </c>
      <c r="E22" t="s">
        <v>129</v>
      </c>
      <c r="F22" t="s">
        <v>65</v>
      </c>
      <c r="G22" t="s">
        <v>130</v>
      </c>
      <c r="H22">
        <v>24</v>
      </c>
      <c r="I22" t="s">
        <v>16</v>
      </c>
    </row>
    <row r="23" spans="1:9" x14ac:dyDescent="0.25">
      <c r="A23" t="s">
        <v>16</v>
      </c>
      <c r="B23" t="s">
        <v>34</v>
      </c>
      <c r="C23" t="s">
        <v>131</v>
      </c>
      <c r="D23" t="s">
        <v>132</v>
      </c>
      <c r="E23" t="s">
        <v>133</v>
      </c>
      <c r="F23" t="s">
        <v>134</v>
      </c>
      <c r="G23" t="s">
        <v>135</v>
      </c>
      <c r="H23">
        <v>28</v>
      </c>
      <c r="I23" t="s">
        <v>18</v>
      </c>
    </row>
    <row r="24" spans="1:9" x14ac:dyDescent="0.25">
      <c r="A24" t="s">
        <v>0</v>
      </c>
      <c r="B24" t="s">
        <v>1</v>
      </c>
      <c r="C24" t="s">
        <v>2</v>
      </c>
      <c r="D24" t="s">
        <v>3</v>
      </c>
      <c r="E24" t="s">
        <v>4</v>
      </c>
      <c r="F24" t="s">
        <v>5</v>
      </c>
      <c r="G24" t="s">
        <v>6</v>
      </c>
      <c r="H24" t="s">
        <v>7</v>
      </c>
      <c r="I24" t="s">
        <v>8</v>
      </c>
    </row>
    <row r="25" spans="1:9" x14ac:dyDescent="0.25">
      <c r="A25" t="s">
        <v>93</v>
      </c>
      <c r="B25" t="s">
        <v>18</v>
      </c>
      <c r="C25" t="s">
        <v>136</v>
      </c>
      <c r="D25" t="s">
        <v>137</v>
      </c>
      <c r="E25" t="s">
        <v>138</v>
      </c>
      <c r="F25" t="s">
        <v>139</v>
      </c>
      <c r="H25">
        <v>22</v>
      </c>
      <c r="I25" t="s">
        <v>16</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1A8764-E71B-430A-8F79-2AFBC43701E9}">
  <sheetPr>
    <tabColor theme="6" tint="0.39997558519241921"/>
  </sheetPr>
  <dimension ref="A1:I24"/>
  <sheetViews>
    <sheetView topLeftCell="A14" zoomScaleNormal="100" workbookViewId="0">
      <selection activeCell="F14" sqref="F14"/>
    </sheetView>
  </sheetViews>
  <sheetFormatPr defaultRowHeight="15" x14ac:dyDescent="0.25"/>
  <cols>
    <col min="1" max="1" width="18" bestFit="1" customWidth="1"/>
    <col min="2" max="3" width="23.5703125" bestFit="1" customWidth="1"/>
    <col min="4" max="4" width="23.5703125" customWidth="1"/>
    <col min="5" max="5" width="20.42578125" customWidth="1"/>
    <col min="6" max="6" width="19.85546875" bestFit="1" customWidth="1"/>
    <col min="7" max="7" width="23" bestFit="1" customWidth="1"/>
    <col min="8" max="9" width="19.85546875" bestFit="1" customWidth="1"/>
    <col min="10" max="10" width="20.140625" bestFit="1" customWidth="1"/>
  </cols>
  <sheetData>
    <row r="1" spans="1:9" x14ac:dyDescent="0.25">
      <c r="A1" s="2" t="s">
        <v>143</v>
      </c>
      <c r="B1" s="2" t="s">
        <v>144</v>
      </c>
      <c r="C1" s="2" t="s">
        <v>144</v>
      </c>
      <c r="D1" s="2" t="s">
        <v>144</v>
      </c>
      <c r="E1" s="2" t="s">
        <v>144</v>
      </c>
      <c r="F1" s="2" t="s">
        <v>144</v>
      </c>
      <c r="G1" s="2" t="s">
        <v>145</v>
      </c>
      <c r="H1" s="2" t="s">
        <v>146</v>
      </c>
      <c r="I1" s="2" t="s">
        <v>144</v>
      </c>
    </row>
    <row r="2" spans="1:9" x14ac:dyDescent="0.25">
      <c r="A2" s="3" t="s">
        <v>0</v>
      </c>
      <c r="B2" s="4" t="s">
        <v>140</v>
      </c>
      <c r="C2" s="3" t="s">
        <v>2</v>
      </c>
      <c r="D2" s="3" t="s">
        <v>3</v>
      </c>
      <c r="E2" s="3" t="s">
        <v>4</v>
      </c>
      <c r="F2" s="3" t="s">
        <v>5</v>
      </c>
      <c r="G2" s="4" t="s">
        <v>141</v>
      </c>
      <c r="H2" s="3" t="s">
        <v>7</v>
      </c>
      <c r="I2" s="4" t="s">
        <v>142</v>
      </c>
    </row>
    <row r="3" spans="1:9" x14ac:dyDescent="0.25">
      <c r="A3" s="2" t="s">
        <v>9</v>
      </c>
      <c r="B3" s="2" t="s">
        <v>18</v>
      </c>
      <c r="C3" s="2" t="s">
        <v>147</v>
      </c>
      <c r="D3" s="2" t="s">
        <v>156</v>
      </c>
      <c r="E3" s="2" t="s">
        <v>13</v>
      </c>
      <c r="F3" s="2" t="s">
        <v>14</v>
      </c>
      <c r="G3" s="6">
        <v>62000000</v>
      </c>
      <c r="H3" s="5">
        <v>22</v>
      </c>
      <c r="I3" s="2" t="s">
        <v>16</v>
      </c>
    </row>
    <row r="4" spans="1:9" x14ac:dyDescent="0.25">
      <c r="A4" s="2" t="s">
        <v>9</v>
      </c>
      <c r="B4" s="2" t="s">
        <v>18</v>
      </c>
      <c r="C4" s="2" t="s">
        <v>88</v>
      </c>
      <c r="D4" s="2" t="s">
        <v>77</v>
      </c>
      <c r="E4" s="2" t="s">
        <v>90</v>
      </c>
      <c r="F4" s="2" t="s">
        <v>22</v>
      </c>
      <c r="G4" s="6">
        <v>30000000</v>
      </c>
      <c r="H4" s="5">
        <v>22</v>
      </c>
      <c r="I4" s="2" t="s">
        <v>16</v>
      </c>
    </row>
    <row r="5" spans="1:9" x14ac:dyDescent="0.25">
      <c r="A5" s="2" t="s">
        <v>9</v>
      </c>
      <c r="B5" s="2" t="s">
        <v>48</v>
      </c>
      <c r="C5" s="2" t="s">
        <v>28</v>
      </c>
      <c r="D5" s="2" t="s">
        <v>156</v>
      </c>
      <c r="E5" s="2" t="s">
        <v>30</v>
      </c>
      <c r="F5" s="2" t="s">
        <v>153</v>
      </c>
      <c r="G5" s="6">
        <v>27000000</v>
      </c>
      <c r="H5" s="5">
        <v>27</v>
      </c>
      <c r="I5" s="2" t="s">
        <v>33</v>
      </c>
    </row>
    <row r="6" spans="1:9" x14ac:dyDescent="0.25">
      <c r="A6" s="2" t="s">
        <v>34</v>
      </c>
      <c r="B6" s="2" t="s">
        <v>18</v>
      </c>
      <c r="C6" s="2" t="s">
        <v>149</v>
      </c>
      <c r="D6" s="2" t="s">
        <v>156</v>
      </c>
      <c r="E6" s="2" t="s">
        <v>30</v>
      </c>
      <c r="F6" s="2" t="s">
        <v>38</v>
      </c>
      <c r="G6" s="6">
        <v>16600000</v>
      </c>
      <c r="H6" s="5">
        <v>25</v>
      </c>
      <c r="I6" s="2" t="s">
        <v>16</v>
      </c>
    </row>
    <row r="7" spans="1:9" x14ac:dyDescent="0.25">
      <c r="A7" s="2" t="s">
        <v>34</v>
      </c>
      <c r="B7" s="2" t="s">
        <v>18</v>
      </c>
      <c r="C7" s="2" t="s">
        <v>150</v>
      </c>
      <c r="D7" s="2" t="s">
        <v>70</v>
      </c>
      <c r="E7" s="2" t="s">
        <v>44</v>
      </c>
      <c r="F7" s="2" t="s">
        <v>45</v>
      </c>
      <c r="G7" s="6">
        <v>30000000</v>
      </c>
      <c r="H7" s="5">
        <v>23</v>
      </c>
      <c r="I7" s="2" t="s">
        <v>16</v>
      </c>
    </row>
    <row r="8" spans="1:9" x14ac:dyDescent="0.25">
      <c r="A8" s="2" t="s">
        <v>34</v>
      </c>
      <c r="B8" s="2" t="s">
        <v>48</v>
      </c>
      <c r="C8" s="2" t="s">
        <v>49</v>
      </c>
      <c r="D8" s="2" t="s">
        <v>70</v>
      </c>
      <c r="E8" s="2" t="s">
        <v>51</v>
      </c>
      <c r="F8" s="2" t="s">
        <v>52</v>
      </c>
      <c r="G8" s="6">
        <v>0</v>
      </c>
      <c r="H8" s="5">
        <v>33</v>
      </c>
      <c r="I8" s="2" t="s">
        <v>53</v>
      </c>
    </row>
    <row r="9" spans="1:9" x14ac:dyDescent="0.25">
      <c r="A9" s="2" t="s">
        <v>34</v>
      </c>
      <c r="B9" s="2" t="s">
        <v>18</v>
      </c>
      <c r="C9" s="2" t="s">
        <v>131</v>
      </c>
      <c r="D9" s="2" t="s">
        <v>70</v>
      </c>
      <c r="E9" s="2" t="s">
        <v>132</v>
      </c>
      <c r="F9" s="2" t="s">
        <v>134</v>
      </c>
      <c r="G9" s="6">
        <v>16800000</v>
      </c>
      <c r="H9" s="5">
        <v>28</v>
      </c>
      <c r="I9" s="2" t="s">
        <v>16</v>
      </c>
    </row>
    <row r="10" spans="1:9" x14ac:dyDescent="0.25">
      <c r="A10" s="2" t="s">
        <v>55</v>
      </c>
      <c r="B10" s="2" t="s">
        <v>18</v>
      </c>
      <c r="C10" s="2" t="s">
        <v>56</v>
      </c>
      <c r="D10" s="2" t="s">
        <v>70</v>
      </c>
      <c r="E10" s="2" t="s">
        <v>151</v>
      </c>
      <c r="F10" s="2" t="s">
        <v>59</v>
      </c>
      <c r="G10" s="6">
        <v>52000000</v>
      </c>
      <c r="H10" s="5">
        <v>23</v>
      </c>
      <c r="I10" s="2" t="s">
        <v>16</v>
      </c>
    </row>
    <row r="11" spans="1:9" x14ac:dyDescent="0.25">
      <c r="A11" s="2" t="s">
        <v>55</v>
      </c>
      <c r="B11" s="2" t="s">
        <v>18</v>
      </c>
      <c r="C11" s="2" t="s">
        <v>62</v>
      </c>
      <c r="D11" s="2" t="s">
        <v>77</v>
      </c>
      <c r="E11" s="2" t="s">
        <v>64</v>
      </c>
      <c r="F11" s="2" t="s">
        <v>65</v>
      </c>
      <c r="G11" s="6">
        <v>0</v>
      </c>
      <c r="H11" s="5">
        <v>21</v>
      </c>
      <c r="I11" s="2" t="s">
        <v>157</v>
      </c>
    </row>
    <row r="12" spans="1:9" x14ac:dyDescent="0.25">
      <c r="A12" s="2" t="s">
        <v>55</v>
      </c>
      <c r="B12" s="2" t="s">
        <v>48</v>
      </c>
      <c r="C12" s="2" t="s">
        <v>69</v>
      </c>
      <c r="D12" s="2" t="s">
        <v>70</v>
      </c>
      <c r="E12" s="2" t="s">
        <v>51</v>
      </c>
      <c r="F12" s="2" t="s">
        <v>72</v>
      </c>
      <c r="G12" s="6">
        <v>13000000</v>
      </c>
      <c r="H12" s="5">
        <v>32</v>
      </c>
      <c r="I12" s="2" t="s">
        <v>33</v>
      </c>
    </row>
    <row r="13" spans="1:9" x14ac:dyDescent="0.25">
      <c r="A13" s="2" t="s">
        <v>55</v>
      </c>
      <c r="B13" s="2" t="s">
        <v>18</v>
      </c>
      <c r="C13" s="2" t="s">
        <v>127</v>
      </c>
      <c r="D13" s="2" t="s">
        <v>156</v>
      </c>
      <c r="E13" s="2" t="s">
        <v>129</v>
      </c>
      <c r="F13" s="2" t="s">
        <v>65</v>
      </c>
      <c r="G13" s="6">
        <v>19000000</v>
      </c>
      <c r="H13" s="5">
        <v>24</v>
      </c>
      <c r="I13" s="2" t="s">
        <v>16</v>
      </c>
    </row>
    <row r="14" spans="1:9" x14ac:dyDescent="0.25">
      <c r="A14" s="2" t="s">
        <v>75</v>
      </c>
      <c r="B14" s="2" t="s">
        <v>18</v>
      </c>
      <c r="C14" s="2" t="s">
        <v>76</v>
      </c>
      <c r="D14" s="2" t="s">
        <v>77</v>
      </c>
      <c r="E14" s="2" t="s">
        <v>78</v>
      </c>
      <c r="F14" s="2" t="s">
        <v>79</v>
      </c>
      <c r="G14" s="6">
        <v>58000000</v>
      </c>
      <c r="H14" s="5">
        <v>25</v>
      </c>
      <c r="I14" s="2" t="s">
        <v>16</v>
      </c>
    </row>
    <row r="15" spans="1:9" x14ac:dyDescent="0.25">
      <c r="A15" s="2" t="s">
        <v>75</v>
      </c>
      <c r="B15" s="2" t="s">
        <v>18</v>
      </c>
      <c r="C15" s="2" t="s">
        <v>82</v>
      </c>
      <c r="D15" s="2" t="s">
        <v>156</v>
      </c>
      <c r="E15" s="2" t="s">
        <v>84</v>
      </c>
      <c r="F15" s="2" t="s">
        <v>85</v>
      </c>
      <c r="G15" s="6">
        <v>29000000</v>
      </c>
      <c r="H15" s="5">
        <v>25</v>
      </c>
      <c r="I15" s="2" t="s">
        <v>16</v>
      </c>
    </row>
    <row r="16" spans="1:9" x14ac:dyDescent="0.25">
      <c r="A16" s="2" t="s">
        <v>75</v>
      </c>
      <c r="B16" s="2" t="s">
        <v>48</v>
      </c>
      <c r="C16" s="2" t="s">
        <v>88</v>
      </c>
      <c r="D16" s="2" t="s">
        <v>77</v>
      </c>
      <c r="E16" s="2" t="s">
        <v>90</v>
      </c>
      <c r="F16" s="2" t="s">
        <v>91</v>
      </c>
      <c r="G16" s="6">
        <v>31300000</v>
      </c>
      <c r="H16" s="5">
        <v>24</v>
      </c>
      <c r="I16" s="2" t="s">
        <v>33</v>
      </c>
    </row>
    <row r="17" spans="1:9" x14ac:dyDescent="0.25">
      <c r="A17" s="2" t="s">
        <v>75</v>
      </c>
      <c r="B17" s="2" t="s">
        <v>18</v>
      </c>
      <c r="C17" s="2" t="s">
        <v>148</v>
      </c>
      <c r="D17" s="2" t="s">
        <v>77</v>
      </c>
      <c r="E17" s="2" t="s">
        <v>124</v>
      </c>
      <c r="F17" s="2" t="s">
        <v>153</v>
      </c>
      <c r="G17" s="6">
        <v>0</v>
      </c>
      <c r="H17" s="5">
        <v>33</v>
      </c>
      <c r="I17" s="2" t="s">
        <v>53</v>
      </c>
    </row>
    <row r="18" spans="1:9" x14ac:dyDescent="0.25">
      <c r="A18" s="2" t="s">
        <v>93</v>
      </c>
      <c r="B18" s="2" t="s">
        <v>18</v>
      </c>
      <c r="C18" s="2" t="s">
        <v>95</v>
      </c>
      <c r="D18" s="2" t="s">
        <v>156</v>
      </c>
      <c r="E18" s="2" t="s">
        <v>97</v>
      </c>
      <c r="F18" s="2" t="s">
        <v>98</v>
      </c>
      <c r="G18" s="6">
        <v>46300000</v>
      </c>
      <c r="H18" s="5">
        <v>26</v>
      </c>
      <c r="I18" s="2" t="s">
        <v>16</v>
      </c>
    </row>
    <row r="19" spans="1:9" x14ac:dyDescent="0.25">
      <c r="A19" s="2" t="s">
        <v>93</v>
      </c>
      <c r="B19" s="2" t="s">
        <v>18</v>
      </c>
      <c r="C19" s="2" t="s">
        <v>100</v>
      </c>
      <c r="D19" s="2" t="s">
        <v>70</v>
      </c>
      <c r="E19" s="2" t="s">
        <v>90</v>
      </c>
      <c r="F19" s="2" t="s">
        <v>102</v>
      </c>
      <c r="G19" s="6">
        <v>40000000</v>
      </c>
      <c r="H19" s="5">
        <v>22</v>
      </c>
      <c r="I19" s="2" t="s">
        <v>16</v>
      </c>
    </row>
    <row r="20" spans="1:9" x14ac:dyDescent="0.25">
      <c r="A20" s="2" t="s">
        <v>93</v>
      </c>
      <c r="B20" s="2" t="s">
        <v>48</v>
      </c>
      <c r="C20" s="2" t="s">
        <v>104</v>
      </c>
      <c r="D20" s="2" t="s">
        <v>77</v>
      </c>
      <c r="E20" s="2" t="s">
        <v>97</v>
      </c>
      <c r="F20" s="2" t="s">
        <v>154</v>
      </c>
      <c r="G20" s="6">
        <v>95000000</v>
      </c>
      <c r="H20" s="5">
        <v>30</v>
      </c>
      <c r="I20" s="2" t="s">
        <v>33</v>
      </c>
    </row>
    <row r="21" spans="1:9" x14ac:dyDescent="0.25">
      <c r="A21" s="2" t="s">
        <v>93</v>
      </c>
      <c r="B21" s="2" t="s">
        <v>18</v>
      </c>
      <c r="C21" s="2" t="s">
        <v>136</v>
      </c>
      <c r="D21" s="2" t="s">
        <v>77</v>
      </c>
      <c r="E21" s="2" t="s">
        <v>152</v>
      </c>
      <c r="F21" s="2" t="s">
        <v>139</v>
      </c>
      <c r="G21" s="6">
        <v>47500000</v>
      </c>
      <c r="H21" s="5">
        <v>22</v>
      </c>
      <c r="I21" s="2" t="s">
        <v>16</v>
      </c>
    </row>
    <row r="22" spans="1:9" x14ac:dyDescent="0.25">
      <c r="A22" s="2" t="s">
        <v>109</v>
      </c>
      <c r="B22" s="2" t="s">
        <v>18</v>
      </c>
      <c r="C22" s="2" t="s">
        <v>110</v>
      </c>
      <c r="D22" s="2" t="s">
        <v>77</v>
      </c>
      <c r="E22" s="2" t="s">
        <v>97</v>
      </c>
      <c r="F22" s="2" t="s">
        <v>112</v>
      </c>
      <c r="G22" s="6">
        <v>65000000</v>
      </c>
      <c r="H22" s="5">
        <v>26</v>
      </c>
      <c r="I22" s="2" t="s">
        <v>16</v>
      </c>
    </row>
    <row r="23" spans="1:9" x14ac:dyDescent="0.25">
      <c r="A23" s="2" t="s">
        <v>109</v>
      </c>
      <c r="B23" s="2" t="s">
        <v>18</v>
      </c>
      <c r="C23" s="2" t="s">
        <v>114</v>
      </c>
      <c r="D23" s="2" t="s">
        <v>156</v>
      </c>
      <c r="E23" s="2" t="s">
        <v>97</v>
      </c>
      <c r="F23" s="2" t="s">
        <v>117</v>
      </c>
      <c r="G23" s="6">
        <v>41000000</v>
      </c>
      <c r="H23" s="5">
        <v>18</v>
      </c>
      <c r="I23" s="2" t="s">
        <v>16</v>
      </c>
    </row>
    <row r="24" spans="1:9" x14ac:dyDescent="0.25">
      <c r="A24" s="2" t="s">
        <v>109</v>
      </c>
      <c r="B24" s="2" t="s">
        <v>48</v>
      </c>
      <c r="C24" s="2" t="s">
        <v>149</v>
      </c>
      <c r="D24" s="2" t="s">
        <v>156</v>
      </c>
      <c r="E24" s="2" t="s">
        <v>30</v>
      </c>
      <c r="F24" s="2" t="s">
        <v>155</v>
      </c>
      <c r="G24" s="6">
        <v>13500000</v>
      </c>
      <c r="H24" s="5">
        <v>29</v>
      </c>
      <c r="I24" s="2" t="s">
        <v>33</v>
      </c>
    </row>
  </sheetData>
  <autoFilter ref="A2:I24" xr:uid="{121A8764-E71B-430A-8F79-2AFBC43701E9}"/>
  <sortState xmlns:xlrd2="http://schemas.microsoft.com/office/spreadsheetml/2017/richdata2" ref="A3:I25">
    <sortCondition ref="A3:A25"/>
  </sortState>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EE7059-D724-41CB-823A-E2EAAB06413B}">
  <sheetPr>
    <tabColor theme="6" tint="-0.249977111117893"/>
  </sheetPr>
  <dimension ref="A4:S22"/>
  <sheetViews>
    <sheetView tabSelected="1" topLeftCell="J64" zoomScale="106" zoomScaleNormal="106" workbookViewId="0">
      <selection activeCell="R80" sqref="R80"/>
    </sheetView>
  </sheetViews>
  <sheetFormatPr defaultRowHeight="15" x14ac:dyDescent="0.25"/>
  <cols>
    <col min="1" max="1" width="25.85546875" bestFit="1" customWidth="1"/>
    <col min="2" max="2" width="16" bestFit="1" customWidth="1"/>
    <col min="3" max="3" width="21.85546875" bestFit="1" customWidth="1"/>
    <col min="4" max="4" width="16.28515625" bestFit="1" customWidth="1"/>
    <col min="5" max="5" width="14.140625" customWidth="1"/>
    <col min="6" max="6" width="17.7109375" bestFit="1" customWidth="1"/>
    <col min="7" max="7" width="22.5703125" bestFit="1" customWidth="1"/>
    <col min="8" max="8" width="25.5703125" bestFit="1" customWidth="1"/>
    <col min="15" max="15" width="31.140625" bestFit="1" customWidth="1"/>
    <col min="16" max="16" width="26.28515625" bestFit="1" customWidth="1"/>
    <col min="17" max="17" width="14.85546875" bestFit="1" customWidth="1"/>
    <col min="18" max="18" width="14.28515625" bestFit="1" customWidth="1"/>
    <col min="19" max="20" width="24.140625" bestFit="1" customWidth="1"/>
  </cols>
  <sheetData>
    <row r="4" spans="1:19" x14ac:dyDescent="0.25">
      <c r="C4" s="7" t="s">
        <v>158</v>
      </c>
      <c r="D4" s="7" t="s">
        <v>159</v>
      </c>
      <c r="E4" s="7" t="s">
        <v>160</v>
      </c>
      <c r="F4" s="7" t="s">
        <v>161</v>
      </c>
      <c r="G4" s="7" t="s">
        <v>162</v>
      </c>
      <c r="H4" s="7" t="s">
        <v>163</v>
      </c>
    </row>
    <row r="5" spans="1:19" x14ac:dyDescent="0.25">
      <c r="C5" s="2">
        <f>COUNTA('Dados Tratados'!A3:A24)</f>
        <v>22</v>
      </c>
      <c r="D5" s="2">
        <f>COUNTIF('Dados Tratados'!B:B, "Entrada")</f>
        <v>16</v>
      </c>
      <c r="E5" s="2">
        <f>COUNTIF('Dados Tratados'!B:B, "Saída")</f>
        <v>6</v>
      </c>
      <c r="F5" s="2">
        <f>COUNTA(_xlfn.UNIQUE('Dados Tratados'!C3:C24, ,))</f>
        <v>20</v>
      </c>
      <c r="G5" s="2">
        <f>COUNTA(_xlfn.UNIQUE('Dados Tratados'!E3:E24, ,))</f>
        <v>14</v>
      </c>
      <c r="H5" s="5">
        <f>AVERAGE('Dados Tratados'!H3:H24)</f>
        <v>25.454545454545453</v>
      </c>
    </row>
    <row r="14" spans="1:19" x14ac:dyDescent="0.25">
      <c r="A14" s="8" t="s">
        <v>167</v>
      </c>
      <c r="B14" s="8" t="s">
        <v>166</v>
      </c>
      <c r="O14" s="10" t="s">
        <v>170</v>
      </c>
      <c r="P14" s="10" t="s">
        <v>171</v>
      </c>
    </row>
    <row r="15" spans="1:19" x14ac:dyDescent="0.25">
      <c r="A15" s="10" t="s">
        <v>165</v>
      </c>
      <c r="B15" s="2" t="s">
        <v>18</v>
      </c>
      <c r="C15" s="2" t="s">
        <v>48</v>
      </c>
      <c r="D15" s="2" t="s">
        <v>164</v>
      </c>
      <c r="F15" s="11" t="s">
        <v>165</v>
      </c>
      <c r="G15" s="11" t="s">
        <v>168</v>
      </c>
      <c r="O15" s="10" t="s">
        <v>169</v>
      </c>
      <c r="P15" s="2" t="s">
        <v>18</v>
      </c>
      <c r="R15" s="11" t="s">
        <v>169</v>
      </c>
      <c r="S15" s="11" t="s">
        <v>172</v>
      </c>
    </row>
    <row r="16" spans="1:19" x14ac:dyDescent="0.25">
      <c r="A16" s="2" t="s">
        <v>9</v>
      </c>
      <c r="B16" s="6">
        <v>92000000</v>
      </c>
      <c r="C16" s="6">
        <v>27000000</v>
      </c>
      <c r="D16" s="6">
        <v>119000000</v>
      </c>
      <c r="F16" s="2" t="s">
        <v>9</v>
      </c>
      <c r="G16" s="6">
        <f t="shared" ref="G16:G22" si="0">C16-B16</f>
        <v>-65000000</v>
      </c>
      <c r="O16" s="2" t="s">
        <v>156</v>
      </c>
      <c r="P16" s="6">
        <v>213900000</v>
      </c>
      <c r="R16" s="2" t="s">
        <v>156</v>
      </c>
      <c r="S16" s="13">
        <f>P16/$P$19</f>
        <v>0.3866594360086768</v>
      </c>
    </row>
    <row r="17" spans="1:19" x14ac:dyDescent="0.25">
      <c r="A17" s="2" t="s">
        <v>34</v>
      </c>
      <c r="B17" s="6">
        <v>63400000</v>
      </c>
      <c r="C17" s="6">
        <v>0</v>
      </c>
      <c r="D17" s="6">
        <v>63400000</v>
      </c>
      <c r="F17" s="2" t="s">
        <v>34</v>
      </c>
      <c r="G17" s="6">
        <f t="shared" si="0"/>
        <v>-63400000</v>
      </c>
      <c r="O17" s="2" t="s">
        <v>77</v>
      </c>
      <c r="P17" s="6">
        <v>200500000</v>
      </c>
      <c r="R17" s="2" t="s">
        <v>77</v>
      </c>
      <c r="S17" s="13">
        <f>P17/$P$19</f>
        <v>0.36243673174258856</v>
      </c>
    </row>
    <row r="18" spans="1:19" x14ac:dyDescent="0.25">
      <c r="A18" s="2" t="s">
        <v>55</v>
      </c>
      <c r="B18" s="6">
        <v>71000000</v>
      </c>
      <c r="C18" s="6">
        <v>13000000</v>
      </c>
      <c r="D18" s="6">
        <v>84000000</v>
      </c>
      <c r="F18" s="2" t="s">
        <v>55</v>
      </c>
      <c r="G18" s="6">
        <f t="shared" si="0"/>
        <v>-58000000</v>
      </c>
      <c r="O18" s="2" t="s">
        <v>70</v>
      </c>
      <c r="P18" s="6">
        <v>138800000</v>
      </c>
      <c r="R18" s="2" t="s">
        <v>70</v>
      </c>
      <c r="S18" s="13">
        <f>P18/$P$19</f>
        <v>0.25090383224873464</v>
      </c>
    </row>
    <row r="19" spans="1:19" x14ac:dyDescent="0.25">
      <c r="A19" s="2" t="s">
        <v>75</v>
      </c>
      <c r="B19" s="6">
        <v>87000000</v>
      </c>
      <c r="C19" s="6">
        <v>31300000</v>
      </c>
      <c r="D19" s="6">
        <v>118300000</v>
      </c>
      <c r="F19" s="2" t="s">
        <v>75</v>
      </c>
      <c r="G19" s="6">
        <f t="shared" si="0"/>
        <v>-55700000</v>
      </c>
      <c r="O19" t="s">
        <v>164</v>
      </c>
      <c r="P19" s="6">
        <v>553200000</v>
      </c>
      <c r="R19" s="12" t="s">
        <v>164</v>
      </c>
      <c r="S19" s="14">
        <f>P19/$P$19</f>
        <v>1</v>
      </c>
    </row>
    <row r="20" spans="1:19" x14ac:dyDescent="0.25">
      <c r="A20" s="2" t="s">
        <v>93</v>
      </c>
      <c r="B20" s="6">
        <v>133800000</v>
      </c>
      <c r="C20" s="6">
        <v>95000000</v>
      </c>
      <c r="D20" s="6">
        <v>228800000</v>
      </c>
      <c r="F20" s="2" t="s">
        <v>93</v>
      </c>
      <c r="G20" s="6">
        <f t="shared" si="0"/>
        <v>-38800000</v>
      </c>
    </row>
    <row r="21" spans="1:19" x14ac:dyDescent="0.25">
      <c r="A21" s="2" t="s">
        <v>109</v>
      </c>
      <c r="B21" s="6">
        <v>106000000</v>
      </c>
      <c r="C21" s="6">
        <v>13500000</v>
      </c>
      <c r="D21" s="6">
        <v>119500000</v>
      </c>
      <c r="F21" s="2" t="s">
        <v>109</v>
      </c>
      <c r="G21" s="6">
        <f t="shared" si="0"/>
        <v>-92500000</v>
      </c>
    </row>
    <row r="22" spans="1:19" x14ac:dyDescent="0.25">
      <c r="A22" s="9" t="s">
        <v>164</v>
      </c>
      <c r="B22" s="6">
        <v>553200000</v>
      </c>
      <c r="C22" s="6">
        <v>179800000</v>
      </c>
      <c r="D22" s="6">
        <v>733000000</v>
      </c>
      <c r="F22" s="12" t="s">
        <v>164</v>
      </c>
      <c r="G22" s="6">
        <f t="shared" si="0"/>
        <v>-373400000</v>
      </c>
    </row>
  </sheetData>
  <pageMargins left="0.511811024" right="0.511811024" top="0.78740157499999996" bottom="0.78740157499999996" header="0.31496062000000002" footer="0.31496062000000002"/>
  <pageSetup paperSize="9" orientation="portrait" horizontalDpi="300" verticalDpi="300" r:id="rId3"/>
  <drawing r:id="rId4"/>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0E5432-3B5D-4EC2-9644-5CAA892A13A9}">
  <sheetPr>
    <tabColor theme="1"/>
  </sheetPr>
  <dimension ref="A1"/>
  <sheetViews>
    <sheetView showGridLines="0" topLeftCell="A43" workbookViewId="0">
      <selection activeCell="D45" sqref="D45"/>
    </sheetView>
  </sheetViews>
  <sheetFormatPr defaultRowHeight="15" x14ac:dyDescent="0.25"/>
  <sheetData/>
  <pageMargins left="0.511811024" right="0.511811024" top="0.78740157499999996" bottom="0.78740157499999996" header="0.31496062000000002" footer="0.31496062000000002"/>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Apresentação</vt:lpstr>
      <vt:lpstr>Dados Brutos</vt:lpstr>
      <vt:lpstr>Dados Tratados</vt:lpstr>
      <vt:lpstr>Análises</vt:lpstr>
      <vt:lpstr>Anotações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Kaike Mendes</cp:lastModifiedBy>
  <dcterms:created xsi:type="dcterms:W3CDTF">2026-05-07T12:56:16Z</dcterms:created>
  <dcterms:modified xsi:type="dcterms:W3CDTF">2026-06-19T14:59:27Z</dcterms:modified>
</cp:coreProperties>
</file>